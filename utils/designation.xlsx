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Nahid\Desktop\resume\utils\"/>
    </mc:Choice>
  </mc:AlternateContent>
  <xr:revisionPtr revIDLastSave="0" documentId="13_ncr:1_{4902FA75-ADEE-4A9F-B18A-00ADBA03F16B}" xr6:coauthVersionLast="47" xr6:coauthVersionMax="47" xr10:uidLastSave="{00000000-0000-0000-0000-000000000000}"/>
  <bookViews>
    <workbookView xWindow="-120" yWindow="-120" windowWidth="38640" windowHeight="21120" firstSheet="13" activeTab="16" xr2:uid="{7F6EF106-A682-4672-9128-F221E38FAE9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khulna" sheetId="9" r:id="rId9"/>
    <sheet name="Chittagong" sheetId="10" r:id="rId10"/>
    <sheet name="Rajshahi" sheetId="11" r:id="rId11"/>
    <sheet name="rangpur" sheetId="12" r:id="rId12"/>
    <sheet name="mymensing" sheetId="13" r:id="rId13"/>
    <sheet name="sylhet" sheetId="14" r:id="rId14"/>
    <sheet name="barisal" sheetId="15" r:id="rId15"/>
    <sheet name="dmi" sheetId="16" r:id="rId16"/>
    <sheet name="gazipur" sheetId="17" r:id="rId17"/>
    <sheet name="noakhali" sheetId="18" r:id="rId18"/>
    <sheet name="jessore" sheetId="19" r:id="rId19"/>
    <sheet name="bogura" sheetId="20" r:id="rId20"/>
    <sheet name="dinajpur" sheetId="21" r:id="rId21"/>
    <sheet name="pabna" sheetId="22" r:id="rId22"/>
    <sheet name="kushtia" sheetId="23" r:id="rId23"/>
    <sheet name="narsingdi" sheetId="24" r:id="rId24"/>
    <sheet name="faridpur" sheetId="25" r:id="rId25"/>
    <sheet name="patuakhali" sheetId="26" r:id="rId26"/>
    <sheet name="coxbazar" sheetId="27" r:id="rId27"/>
    <sheet name="cumilla" sheetId="28" r:id="rId28"/>
    <sheet name="gopalganj" sheetId="29" r:id="rId29"/>
    <sheet name="narayanganj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0" l="1"/>
  <c r="D6" i="30"/>
  <c r="D24" i="29"/>
  <c r="D6" i="29"/>
  <c r="D22" i="28"/>
  <c r="D16" i="28"/>
  <c r="D6" i="28"/>
  <c r="D21" i="27"/>
  <c r="D16" i="27"/>
  <c r="D11" i="27"/>
  <c r="D6" i="27"/>
  <c r="D2" i="27"/>
  <c r="D24" i="26"/>
  <c r="D6" i="26"/>
  <c r="D21" i="25"/>
  <c r="D6" i="25"/>
  <c r="D27" i="24"/>
  <c r="D21" i="24"/>
  <c r="D6" i="24"/>
  <c r="D24" i="23"/>
  <c r="D6" i="23"/>
  <c r="D24" i="22"/>
  <c r="D6" i="22"/>
  <c r="D25" i="21"/>
  <c r="D26" i="20"/>
  <c r="D6" i="20"/>
  <c r="D25" i="19"/>
  <c r="D24" i="18"/>
  <c r="D6" i="18"/>
  <c r="D26" i="17"/>
  <c r="D6" i="17"/>
  <c r="D2" i="16"/>
  <c r="D33" i="15"/>
  <c r="D27" i="15"/>
  <c r="D20" i="15"/>
  <c r="D12" i="15"/>
  <c r="D6" i="15"/>
  <c r="D2" i="15"/>
  <c r="D31" i="14"/>
  <c r="D25" i="14"/>
  <c r="D18" i="14"/>
  <c r="D9" i="14"/>
  <c r="D2" i="14"/>
  <c r="D21" i="13"/>
  <c r="D16" i="13"/>
  <c r="D11" i="13"/>
  <c r="D6" i="13"/>
  <c r="D2" i="13"/>
  <c r="D26" i="12"/>
  <c r="D22" i="12"/>
  <c r="D16" i="12"/>
  <c r="D11" i="12"/>
  <c r="D6" i="12"/>
  <c r="D2" i="12"/>
  <c r="D41" i="11"/>
  <c r="D35" i="11"/>
  <c r="D27" i="11"/>
  <c r="D17" i="11"/>
  <c r="D9" i="11"/>
  <c r="D2" i="11"/>
  <c r="D55" i="10"/>
  <c r="D42" i="10"/>
  <c r="D29" i="10"/>
  <c r="D18" i="10"/>
  <c r="D9" i="10"/>
  <c r="D2" i="10"/>
  <c r="D49" i="9"/>
  <c r="D2" i="9"/>
  <c r="D38" i="8"/>
  <c r="D26" i="8"/>
  <c r="D14" i="8"/>
  <c r="D2" i="8"/>
  <c r="D19" i="7"/>
  <c r="D11" i="7"/>
  <c r="D2" i="7"/>
  <c r="D43" i="6"/>
  <c r="D32" i="6"/>
  <c r="D23" i="6"/>
  <c r="D13" i="6"/>
  <c r="D2" i="6"/>
  <c r="D45" i="5"/>
  <c r="D29" i="5"/>
  <c r="D15" i="5"/>
  <c r="D2" i="5"/>
  <c r="D8" i="4"/>
  <c r="D2" i="4"/>
  <c r="D56" i="3"/>
  <c r="D47" i="3"/>
  <c r="D38" i="3"/>
  <c r="D29" i="3"/>
  <c r="D20" i="3"/>
  <c r="D11" i="3"/>
  <c r="D2" i="3"/>
  <c r="D26" i="2"/>
  <c r="D7" i="2"/>
  <c r="D18" i="1"/>
  <c r="D3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ICT-2</author>
  </authors>
  <commentList>
    <comment ref="A20" authorId="0" shapeId="0" xr:uid="{6637F30E-CC7A-4487-96C3-787F1BD03955}">
      <text>
        <r>
          <rPr>
            <b/>
            <sz val="12"/>
            <color indexed="10"/>
            <rFont val="Tahoma"/>
            <family val="2"/>
          </rPr>
          <t>Previous Post-2
Present Post-3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<sst xmlns="http://schemas.openxmlformats.org/spreadsheetml/2006/main" count="1367" uniqueCount="317">
  <si>
    <t>জনবল -</t>
  </si>
  <si>
    <t>x</t>
  </si>
  <si>
    <t xml:space="preserve">অফিস সহায়ক </t>
  </si>
  <si>
    <t>অফিস সহায়ক</t>
  </si>
  <si>
    <t>ড্রাইভার (আউট সোর্সিং)</t>
  </si>
  <si>
    <t>উপপরিচালক (প্রশাসন)</t>
  </si>
  <si>
    <t>সাঁট-মুদ্রাক্ষরিক কাম কম্পিউটার অপারেটর</t>
  </si>
  <si>
    <t>উপপরিচালক (হিসাব ও নিরীক্ষা)</t>
  </si>
  <si>
    <t>কম্পিউটার মুদ্রাক্ষরিক</t>
  </si>
  <si>
    <t xml:space="preserve">উপপরিচালক (পরিকল্পনা ও উন্নয়ন) </t>
  </si>
  <si>
    <t>সহকারী পরিচালক (প্রশাসন)</t>
  </si>
  <si>
    <t>সহকারী নিরাপত্তা কর্মকর্তা</t>
  </si>
  <si>
    <t xml:space="preserve">প্রধান সহকারী </t>
  </si>
  <si>
    <t xml:space="preserve">এলডিএ-নিম্নমান করনিক </t>
  </si>
  <si>
    <t>অফিস সহকারী কাম কম্পিউটার মুদ্রাক্ষরিক</t>
  </si>
  <si>
    <t>ড্রাইভার</t>
  </si>
  <si>
    <t>গেস্টেটনার অপারেটর</t>
  </si>
  <si>
    <t xml:space="preserve">দপ্তরী </t>
  </si>
  <si>
    <t xml:space="preserve">নিরাপত্তা প্রহরী </t>
  </si>
  <si>
    <t>Admin</t>
  </si>
  <si>
    <t>Accounts &amp; Internal Audit</t>
  </si>
  <si>
    <t>Planning &amp; Development</t>
  </si>
  <si>
    <t xml:space="preserve">সহকারী পরিচালক (পরিকল্পনা ও উন্নয়ন) </t>
  </si>
  <si>
    <t xml:space="preserve">পরিসংখ্যানবিদ  </t>
  </si>
  <si>
    <t xml:space="preserve">সহকারী পরিচালক (হিসাব ও অভ্যন্তরীণ নিরীক্ষা) </t>
  </si>
  <si>
    <t>সহকারী নিরীক্ষা কর্মকর্তা</t>
  </si>
  <si>
    <t>সহকারী হিসাবরক্ষণ কর্মকর্তা</t>
  </si>
  <si>
    <t>অডিটর</t>
  </si>
  <si>
    <t>হিসাবরক্ষক</t>
  </si>
  <si>
    <t xml:space="preserve">হিসাব সহকারী </t>
  </si>
  <si>
    <t>ইউডিসি-কাম-ক্যাশিয়ার</t>
  </si>
  <si>
    <t>ক্যাশিয়ার</t>
  </si>
  <si>
    <t>সহকারী আইন কর্মকর্তা</t>
  </si>
  <si>
    <t xml:space="preserve">প্রোগ্রামার </t>
  </si>
  <si>
    <t>সিনিয়র কম্পিউটার অপারেটর</t>
  </si>
  <si>
    <t>কম্পিউটার অপারেটর</t>
  </si>
  <si>
    <t>ডাটা এন্ট্রি অপারেটর</t>
  </si>
  <si>
    <t>সহকারী পরিচালক (সিএম)</t>
  </si>
  <si>
    <t>ফিল্ড অফিসার (সিএম)</t>
  </si>
  <si>
    <t>পরিদর্শক (মেট্রোলজি)</t>
  </si>
  <si>
    <t>হিসাব রক্ষক কাম ক্যাশিয়ার</t>
  </si>
  <si>
    <t xml:space="preserve">ভান্ডার কর্মকর্তা </t>
  </si>
  <si>
    <t xml:space="preserve">পরীক্ষক  </t>
  </si>
  <si>
    <t xml:space="preserve">ভান্ডার রক্ষক </t>
  </si>
  <si>
    <t>Law</t>
  </si>
  <si>
    <t>ICT</t>
  </si>
  <si>
    <t>One Stop Service</t>
  </si>
  <si>
    <t>Store and Purchase</t>
  </si>
  <si>
    <t>পাবলিকেশন ও গণসংযোগ বিভাগ</t>
  </si>
  <si>
    <t xml:space="preserve">সম্পাদক </t>
  </si>
  <si>
    <t xml:space="preserve"> লাইব্রেরীয়ান</t>
  </si>
  <si>
    <t>ক্যাটালগার</t>
  </si>
  <si>
    <t>ড্রাফ্টসম্যান</t>
  </si>
  <si>
    <t>কৃষি ও খাদ্য বিভাগ</t>
  </si>
  <si>
    <t>উপপরিচালক (কৃষি ও খাদ্য)</t>
  </si>
  <si>
    <t>সহকারী পরিচালক (কৃষি ও খাদ্য)</t>
  </si>
  <si>
    <t>ঊর্ধ্বতন পরীক্ষক (কৃষি ও খাদ্য)</t>
  </si>
  <si>
    <t>পরীক্ষক (কৃষি ও খাদ্য)</t>
  </si>
  <si>
    <t>রসায়ন বিভাগ</t>
  </si>
  <si>
    <t>উপপরিচালক (রসায়ন)</t>
  </si>
  <si>
    <t>সহকারী পরিচালক (রসায়ন)</t>
  </si>
  <si>
    <t>ঊর্ধ্বতন পরীক্ষক (রসায়ন)</t>
  </si>
  <si>
    <t>পরীক্ষক (রসায়ন)</t>
  </si>
  <si>
    <t>পাট ও বস্ত্র বিভাগ</t>
  </si>
  <si>
    <t>উপপরিচালক (পাট ও বস্ত্র)</t>
  </si>
  <si>
    <t>সহকারী পরিচালক (পাট ও বস্ত্র)</t>
  </si>
  <si>
    <t>ঊর্ধ্বতন পরীক্ষক (পাট ও বস্ত্র)</t>
  </si>
  <si>
    <t>পরীক্ষক (পাট ও বস্ত্র)</t>
  </si>
  <si>
    <t>ইলেকট্রিক্যাল, ইলেকট্রনিক্স ও কারিগরী বিভাগ</t>
  </si>
  <si>
    <t>উপপরিচালক (ইলেকট্রিক্যাল ও ইলেকট্রনিক্স)</t>
  </si>
  <si>
    <t>সহকারী পরিচালক (ইলেকট্রিক্যাল ও ইলেকট্রনিক্স)</t>
  </si>
  <si>
    <t>ঊর্ধ্বতন পরীক্ষক (ইলেকট্রিক্যাল ও ইলেকট্রনিক্স)</t>
  </si>
  <si>
    <t>পরীক্ষক (ইলেকট্রিক্যাল ও ইলেকট্রনিক্স)</t>
  </si>
  <si>
    <t>পুরকৌশল ও যন্ত্রকৌশল বিভাগ</t>
  </si>
  <si>
    <t>উপপরিচালক (পুরকৌশল ও যন্ত্রকৌশল)</t>
  </si>
  <si>
    <t>সহকারী পরিচালক (পুরকৌশল ও যন্ত্রকৌশল)</t>
  </si>
  <si>
    <t>ঊর্ধ্বতন পরীক্ষক (পুরকৌশল ও যন্ত্রকৌশল)</t>
  </si>
  <si>
    <t>পরীক্ষক (পুরকৌশল ও যন্ত্রকৌশল)</t>
  </si>
  <si>
    <t>হালাল খাদ্য ও পণ্য বিভাগ</t>
  </si>
  <si>
    <t>উপপরিচালক (হালাল খাদ্য ও পণ্য)</t>
  </si>
  <si>
    <t>সহকারী পরিচালক (হালাল খাদ্য ও পণ্য)</t>
  </si>
  <si>
    <t>পরীক্ষক (হালাল খাদ্য ও পণ্য)</t>
  </si>
  <si>
    <t>ডকুমেন্ট কন্ট্রোল শাখা</t>
  </si>
  <si>
    <t>উপপরিচালক (ডকুমেন্ট কন্ট্রোল)</t>
  </si>
  <si>
    <t>ডকুমেন্ট কন্ট্রোল অফিসার</t>
  </si>
  <si>
    <t xml:space="preserve"> ইন্টারনাল অডিট শাখা</t>
  </si>
  <si>
    <t>উপপরিচালক (ইন্টারনাল অডিট)</t>
  </si>
  <si>
    <t>ইন্টারনাল অডিট অফিসার</t>
  </si>
  <si>
    <t>অফিস সহায়ক (আউট সোসিং)</t>
  </si>
  <si>
    <t>উপপরিচালক (ট্রেক্সটাইল)</t>
  </si>
  <si>
    <t>সহকারী পরিচালক (ট্রেক্সটাইল)</t>
  </si>
  <si>
    <t>ঊর্ধ্বতন পরীক্ষক (ট্রেক্সটাইল)</t>
  </si>
  <si>
    <t>পরীক্ষক (ট্রেক্সটাইল)</t>
  </si>
  <si>
    <t>ইন্সট্রুমেন্ট টেকনিশিয়ান</t>
  </si>
  <si>
    <t>ল্যাব সহকারী</t>
  </si>
  <si>
    <t>ল্যাব বাহক</t>
  </si>
  <si>
    <t>খালাসী</t>
  </si>
  <si>
    <t>ট্রেক্সটাইল বিভাগ</t>
  </si>
  <si>
    <t>ইলেকটিক্যাল এন্ড ইলেকট্রনিক্স বিভাগ</t>
  </si>
  <si>
    <t>উপপরিচালক (ইলেকটিক্যাল এন্ড ইলেকট্রনিক্স)</t>
  </si>
  <si>
    <t>সহকারী পরিচালক (ইলেকটিক্যাল এন্ড ইলেকট্রনিক্স)</t>
  </si>
  <si>
    <t>ঊর্ধ্বতন পরীক্ষক (ইলেকটিক্যাল এন্ড ইলেকট্রনিক্স)</t>
  </si>
  <si>
    <t>পরীক্ষক (ইলেকটিক্যাল এন্ড ইলেকট্রনিক্স)</t>
  </si>
  <si>
    <t>ঊর্ধ্বতন কারিগরী সহকারী</t>
  </si>
  <si>
    <t>ইলেক্ট্রিশিয়ান</t>
  </si>
  <si>
    <t>উপপরিচালক (পুরকৌশল, পদার্থ)</t>
  </si>
  <si>
    <t>সহকারী পরিচালক (পুরকৌশল, পদার্থ)</t>
  </si>
  <si>
    <t>ঊর্ধ্বতন পরীক্ষক (পুরকৌশল, পদার্থ)</t>
  </si>
  <si>
    <t>পরীক্ষক (পুরকৌশল, পদার্থ)</t>
  </si>
  <si>
    <t xml:space="preserve">ফোরম্যান </t>
  </si>
  <si>
    <t>সহকারী গেজার</t>
  </si>
  <si>
    <t>ফিটার</t>
  </si>
  <si>
    <t>টার্নার</t>
  </si>
  <si>
    <t>মিন্ত্রি</t>
  </si>
  <si>
    <t>পুরকৌশল, পদার্থ  (ধাতব,সিরামিক ও প্লাস্টিক) বিভাগ</t>
  </si>
  <si>
    <t>সহকারী পরিচালক (যন্ত্রকৌশল)</t>
  </si>
  <si>
    <t>পরীক্ষক (যন্ত্রকৌশল)</t>
  </si>
  <si>
    <t xml:space="preserve">যন্ত্রবিদ </t>
  </si>
  <si>
    <t>যন্ত্রকৌশল বিভাগ</t>
  </si>
  <si>
    <t>লিগ্যাল মেট্রোলজি</t>
  </si>
  <si>
    <t>উপপরিচালক (মেট্রোলজি)</t>
  </si>
  <si>
    <t>সহকারী পরিচালক (মেট্রোলজি)</t>
  </si>
  <si>
    <t>ঊর্ধ্বতন পরীক্ষক (মেট্রোলজি)</t>
  </si>
  <si>
    <t>পরীক্ষক (মেট্রোলজি)</t>
  </si>
  <si>
    <t>মেট্রোলজি পরীক্ষাগার ও প্রশিক্ষণ</t>
  </si>
  <si>
    <t>শিল্প ও বৈজ্ঞানিক মেট্রোলজি</t>
  </si>
  <si>
    <t>ন্যাশনাল মেট্রোলজি ল্যাব (রসায়ন)</t>
  </si>
  <si>
    <t>পরীক্ষক (মেট্রোলজি, রসায়ন)</t>
  </si>
  <si>
    <t>অফিস সহকারী কাম কম্পিউটার মুদ্রক্ষরিক</t>
  </si>
  <si>
    <t xml:space="preserve">ন্যাশনাল মেট্রোলজি ল্যাব (ভৌত) </t>
  </si>
  <si>
    <t>পরীক্ষক (মেট্রোলজি, ভৌত)</t>
  </si>
  <si>
    <t>ইলেক্ট্রিশিয়ান (আউট সোসিং)</t>
  </si>
  <si>
    <t>প্রশিক্ষণ বিভাগ</t>
  </si>
  <si>
    <t>উপপরিচালক (সিএম)</t>
  </si>
  <si>
    <t>সিএম ঢাকা</t>
  </si>
  <si>
    <t>হালাল সার্টিফিকেশন বিভাগ</t>
  </si>
  <si>
    <t>উপপরিচালক (হালাল সার্টিফিকেশন)</t>
  </si>
  <si>
    <t>সহকারী পরিচালক (হালাল সার্টিফিকেশন)</t>
  </si>
  <si>
    <t>ফিল্ড অফিসার (হালাল সার্টিফিকেশন)</t>
  </si>
  <si>
    <t>জৈব রসায়ন বিভাগ</t>
  </si>
  <si>
    <t>গ্লাস ব্লোয়ার</t>
  </si>
  <si>
    <t>অজৈব রসায়ন বিভাগ</t>
  </si>
  <si>
    <t>ঊর্ধ্বতন কারিগরী সহায়ক</t>
  </si>
  <si>
    <t>গ্যাসম্যান</t>
  </si>
  <si>
    <t>ফুড ও  ব্যাকটেরিওলজি বিভাগ</t>
  </si>
  <si>
    <t>উপপরিচালক (ফুড ও  ব্যাকটেরিওলজি)</t>
  </si>
  <si>
    <t xml:space="preserve">সহকারী পরিচালক (ফুড ও  ব্যাকটেরিওলজি) (১) </t>
  </si>
  <si>
    <t>ঊর্ধ্বতন পরীক্ষক (ফুড ও  ব্যাকটেরিওলজি)</t>
  </si>
  <si>
    <t>পরীক্ষক (ফুড ও  ব্যাকটেরিওলজি) (৪)</t>
  </si>
  <si>
    <t xml:space="preserve">ঊর্ধ্বতন কারিগরী সহকারী </t>
  </si>
  <si>
    <t>অফিস সহকারী কাম কম্পিউটার মুদ্রাক্ষরিক (১)</t>
  </si>
  <si>
    <t>রসায়ন ল্যাব, প্রধানমন্ত্রীর কার্যালয়</t>
  </si>
  <si>
    <t>সহকারী পরিচালক (ফুড ও ব্যাকটেরিওলজি)</t>
  </si>
  <si>
    <t>পরীক্ষক (ফুড ও ব্যাকটেরিওলজি)</t>
  </si>
  <si>
    <t>বিএসটিআই বিভাগীয় অফিস, খুলনা</t>
  </si>
  <si>
    <t>পরিচালক</t>
  </si>
  <si>
    <t>সাঁটমুদ্রাক্ষরিক কাম কম্পিউটার অপারেটর</t>
  </si>
  <si>
    <t>সিএম, খুলনা</t>
  </si>
  <si>
    <t>মেট্রোলজি, খুলনা</t>
  </si>
  <si>
    <t>যন্ত্রবিদ</t>
  </si>
  <si>
    <t>যন্ত্র সাহায্যকারী</t>
  </si>
  <si>
    <t>রসায়ন ল্যাব, খুলনা</t>
  </si>
  <si>
    <t>পরীক্ষক (ফুড ও  ব্যাকটেরিওলজি)</t>
  </si>
  <si>
    <t xml:space="preserve">ল্যাব সহকারী </t>
  </si>
  <si>
    <t>পদার্থ ল্যাব, খুলনা</t>
  </si>
  <si>
    <t>উপপরিচালক  (পদার্থ)</t>
  </si>
  <si>
    <t xml:space="preserve">সহকারী পরিচালক (পুরকৌশল, পদার্থ) </t>
  </si>
  <si>
    <t>ডাটা এন্ট্রা অপারেটর</t>
  </si>
  <si>
    <t>প্রশাসন , খুলনা</t>
  </si>
  <si>
    <t>প্রধান সহকারী</t>
  </si>
  <si>
    <t xml:space="preserve">ইউডিসি-কাম-ক্যাশিয়ার </t>
  </si>
  <si>
    <t>ভান্ডার রক্ষক</t>
  </si>
  <si>
    <t>নিরাপত্তা প্রহরী</t>
  </si>
  <si>
    <t>বিএসটিআই বিভাগীয় অফিস, চট্টগ্রাম</t>
  </si>
  <si>
    <t xml:space="preserve"> সাঁটলিপিকার-কাম-কম্পিউটার অপারেটর</t>
  </si>
  <si>
    <t>সিএম, চট্টগ্রাম</t>
  </si>
  <si>
    <t>মেট্রোলজি, চট্টগ্রাম</t>
  </si>
  <si>
    <t>রসায়ন ল্যাব, চট্টগ্রাম</t>
  </si>
  <si>
    <t>সহকারী পরিচালক  (রসায়ন)</t>
  </si>
  <si>
    <t>সহকারী পরিচালক  (ফুড ও ব্যাকটেরিওলজি)</t>
  </si>
  <si>
    <t>পরীক্ষক (ফুড ও ব্যাকটেরিওজি)</t>
  </si>
  <si>
    <t>পদার্থ ল্যাব, চট্টগ্রাম</t>
  </si>
  <si>
    <t xml:space="preserve">উপপরিচালক (পদার্থ) </t>
  </si>
  <si>
    <t>ঊর্ধ্বতন পরীক্ষক  (পুরকৌশল, পদার্থ)</t>
  </si>
  <si>
    <t>প্রশাসন , চট্টগ্রাম</t>
  </si>
  <si>
    <t>বিএসটিআই বিভাগীয় আফিস, রাজশাহী</t>
  </si>
  <si>
    <t>সিএম, রাজশাহী</t>
  </si>
  <si>
    <t>মেট্রোলজি,  রাজশাহী</t>
  </si>
  <si>
    <t xml:space="preserve">যন্ত্র সাহায্যকারী </t>
  </si>
  <si>
    <t>রসায়ন ল্যাব,  রাজশাহী</t>
  </si>
  <si>
    <t>উর্ধ্বতন পরীক্ষক (রসায়ন)</t>
  </si>
  <si>
    <t>পদার্থ ল্যাব,  রাজশাহী</t>
  </si>
  <si>
    <t>প্রশাসন , রাজশাহী</t>
  </si>
  <si>
    <t>বিএসটিআই বিভাগী কার্যালয়, রংপুর</t>
  </si>
  <si>
    <t>উপপরিচালক (পদার্থ)</t>
  </si>
  <si>
    <t>সিএম, রংপুর</t>
  </si>
  <si>
    <t>মেট্রোলজি, রংপুর</t>
  </si>
  <si>
    <t xml:space="preserve">সহকারী পরিচালক (মেট্রোলজি) </t>
  </si>
  <si>
    <t>রসায়ন ল্যাব, রংপুর</t>
  </si>
  <si>
    <t>পদার্থ ল্যাব, রংপুর</t>
  </si>
  <si>
    <t>পরীক্ষক (পুরকৌশল, পদার্থ )</t>
  </si>
  <si>
    <t>প্রশাসন, রংপুর</t>
  </si>
  <si>
    <t>বিএসটিআই বিভাগীয় অফিস, ময়মনসিংহ</t>
  </si>
  <si>
    <t>সিএম, ময়মনসিংহ</t>
  </si>
  <si>
    <t>মেট্রোলজি, ময়মনসিংহ</t>
  </si>
  <si>
    <t>রসায়ন ল্যাব, ময়মনসিংহ</t>
  </si>
  <si>
    <t>প্রশাসন, ময়মনসিংহ</t>
  </si>
  <si>
    <t>সিএম, সিলেট</t>
  </si>
  <si>
    <t>মেট্রোলজি, সিলেট</t>
  </si>
  <si>
    <t>অফিস সহায়ক (আউট সোর্সিং)</t>
  </si>
  <si>
    <t>রসায়ন পরীক্ষণ ল্যাব, সিলেট</t>
  </si>
  <si>
    <t>পদার্থ ল্যাব, সিলেট</t>
  </si>
  <si>
    <t>প্রশাসন, সিলেট</t>
  </si>
  <si>
    <t>বিএসটিআই বিভাগীয় অফিস, বরিশাল</t>
  </si>
  <si>
    <t>সিএম, বরিশাল</t>
  </si>
  <si>
    <t>মেট্রোলজি, বরিশাল</t>
  </si>
  <si>
    <t>রসায়ন ল্যাব, বরিশাল</t>
  </si>
  <si>
    <t>পদার্থ ল্যাব, বরিশাল</t>
  </si>
  <si>
    <t xml:space="preserve">প্রশাসন, বরিশাল </t>
  </si>
  <si>
    <t xml:space="preserve">বিভাগীয় মেট্রোলজি ইন্সপেক্টরেট (ডিএমআই) </t>
  </si>
  <si>
    <t>বিএসটিআই আঞ্চলিক কার্যালয়, গাজীপুর</t>
  </si>
  <si>
    <t>সিএম, গাজীপুর</t>
  </si>
  <si>
    <t>ফিল্ড অফিসার (১)</t>
  </si>
  <si>
    <t>মেট্রোলজি, গাজীপুর</t>
  </si>
  <si>
    <t>পরিদর্শক (২)</t>
  </si>
  <si>
    <t>রসায়ন ল্যাব, গাজীপুর</t>
  </si>
  <si>
    <t>পদার্থ ল্যাব, গাজীপুর</t>
  </si>
  <si>
    <t>সহকারী পরিচালক (টেক্সটাইল)</t>
  </si>
  <si>
    <t>প্রশাসন, গাজীপুর</t>
  </si>
  <si>
    <t>হিসাব রক্ষক</t>
  </si>
  <si>
    <t>বিএসটিআই আঞ্চলিক কার্যালয়, নোয়াখালী</t>
  </si>
  <si>
    <t>সিএম, নোয়াখালী</t>
  </si>
  <si>
    <t>ফিল্ড অফিসার (সিএম) (১)</t>
  </si>
  <si>
    <t>মেট্রোলজি, নোয়াখালী</t>
  </si>
  <si>
    <t xml:space="preserve">পরিদর্শক (মেট্রোলজি) (২) </t>
  </si>
  <si>
    <t>রসায়ন ল্যাব, নোয়াখালী</t>
  </si>
  <si>
    <t>পদার্থ ল্যাব, নোয়াখালী</t>
  </si>
  <si>
    <t>প্রশাসন, নোয়াখালী</t>
  </si>
  <si>
    <t>বিএসটিআই আঞ্চলিক কার্যালয়, যশোর</t>
  </si>
  <si>
    <t>প্রশাসন, যশোর</t>
  </si>
  <si>
    <t>পদার্থ ল্যাব, যশোর</t>
  </si>
  <si>
    <t>পরীক্ষক  (ইলেকটিক্যাল এন্ড ইলেকট্রনিক্স)</t>
  </si>
  <si>
    <t>রসায়ন ল্যাব, যশোর</t>
  </si>
  <si>
    <t>মেট্রোলজি, যশোর</t>
  </si>
  <si>
    <t>পরিদর্শক (মেট্রোলজি) (২)</t>
  </si>
  <si>
    <t>সিএম, যশোর</t>
  </si>
  <si>
    <t>ফিল্ড অফিসার (সিএম) (২)</t>
  </si>
  <si>
    <t>বিএসটিআই আঞ্চলিক কার্যালয়, বগুড়া</t>
  </si>
  <si>
    <t>সিএম, বগুড়া</t>
  </si>
  <si>
    <t>মেট্রোলজি, বগুড়া</t>
  </si>
  <si>
    <t>রসায়ন ল্যাব, বগুড়া</t>
  </si>
  <si>
    <t>পদার্থ ল্যাব, বগুড়া</t>
  </si>
  <si>
    <t>প্রশাসন, বগুড়া</t>
  </si>
  <si>
    <t>বিএসটিআই আঞ্চলিক কার্যালয়, দিনাজপুর</t>
  </si>
  <si>
    <t>প্রশাসন, দিনাজপুর</t>
  </si>
  <si>
    <t>পদার্থ ল্যাব, দিনাজপুর</t>
  </si>
  <si>
    <t>রসায়ন ল্যাব, দিনাজপুর</t>
  </si>
  <si>
    <t>মেট্রোলজি, দিনাজপুর</t>
  </si>
  <si>
    <t>পরিদর্শক (মেট্রোলজি) (১)</t>
  </si>
  <si>
    <t>সিএম, দিনাজপুর</t>
  </si>
  <si>
    <t>বিএসটিআই আঞ্চলিক কার্যালয়, পাবনা</t>
  </si>
  <si>
    <t>সিএম, পাবনা</t>
  </si>
  <si>
    <t>ফিল্ড অফিসার (সিএম) (৩)</t>
  </si>
  <si>
    <t>মেট্রোলজি, পাবনা</t>
  </si>
  <si>
    <t>রসায়ন ল্যাব, পাবনা</t>
  </si>
  <si>
    <t>পদার্থ ল্যাব, পাবনা</t>
  </si>
  <si>
    <t>পরীক্ষক  (টেক্সটাইল)</t>
  </si>
  <si>
    <t>প্রশাসন, পাবনা</t>
  </si>
  <si>
    <t>বিএসটিআই আঞ্চলিক কার্যালয়, কুষ্টিয়া</t>
  </si>
  <si>
    <t>সিএম, কুষ্টিয়া</t>
  </si>
  <si>
    <t>মেট্রোলজি, কুষ্টিয়া</t>
  </si>
  <si>
    <t>রসায়ন ল্যাব, কুষ্টিয়া</t>
  </si>
  <si>
    <t>পদার্থ ল্যাব, কুষ্টিয়া</t>
  </si>
  <si>
    <t>পরীক্ষক (টেক্সটাইল)</t>
  </si>
  <si>
    <t>প্রশাসন, কুষ্টিয়া</t>
  </si>
  <si>
    <t>বিএসটিআই আঞ্চলিক কার্যালয়, নরসিংদী</t>
  </si>
  <si>
    <t>সিএম,  নরসিংদী</t>
  </si>
  <si>
    <t>মেট্রোলজি,  নরসিংদী</t>
  </si>
  <si>
    <t>উর্ধ্বতন পরীক্ষক (মেট্রোলজি)</t>
  </si>
  <si>
    <t>রসায়ন ল্যাব,  নরসিংদী</t>
  </si>
  <si>
    <t>পদার্থ ল্যাব,  নরসিংদী</t>
  </si>
  <si>
    <t>প্রশাসন,  নরসিংদী</t>
  </si>
  <si>
    <t>বিএসটিআই আঞ্চলিক কার্যালয়, ফরিদপুর</t>
  </si>
  <si>
    <t>সিএম, ফরিদপুর</t>
  </si>
  <si>
    <t>মেট্রোলজি, ফরিদপুর</t>
  </si>
  <si>
    <t>রসায়ন ল্যাব, ফরিদপুর</t>
  </si>
  <si>
    <t>প্রশাসন, ফরিদপুর</t>
  </si>
  <si>
    <t>বিএসটিআই আঞ্চলিক কার্যালয়, পটুয়াখালী</t>
  </si>
  <si>
    <t>সিএম, পটুয়াখালী</t>
  </si>
  <si>
    <t>মেট্রোলজি, পটুয়াখালী</t>
  </si>
  <si>
    <t>রসায়ন ল্যাব, পটুয়াখালী</t>
  </si>
  <si>
    <t>পদার্থ ল্যাব, পটুয়াখালী</t>
  </si>
  <si>
    <t>প্রশাসন, পটুয়াখালী</t>
  </si>
  <si>
    <t>বিএসটিআই আঞ্চলিক কার্যালয়, কক্সবাজার</t>
  </si>
  <si>
    <t>সিএম, কক্সবাজার</t>
  </si>
  <si>
    <t>মেট্রোলজি, কক্সবাজার</t>
  </si>
  <si>
    <t>রসায়ন ল্যাব, কক্সবাজার</t>
  </si>
  <si>
    <t>প্রশাসন, কক্সবাজার</t>
  </si>
  <si>
    <t>বিএসটিআই আঞ্চলিক কার্যালয়, কুমিল্লা</t>
  </si>
  <si>
    <t>সিএম, কুমিল্লা</t>
  </si>
  <si>
    <t>মেট্রোলজি, কুমিল্লা</t>
  </si>
  <si>
    <t>রসায়ন ল্যাব, কুমিল্লা</t>
  </si>
  <si>
    <t>উর্ধবতন পরীক্ষক (রসাযন)</t>
  </si>
  <si>
    <t>প্রশাসন, কুমিল্লা</t>
  </si>
  <si>
    <t>বিএসটিআই আঞ্চলিক কার্যালয়, গোপালগঞ্জ</t>
  </si>
  <si>
    <t>উপপরিচালক (মেট্রোলজি)</t>
  </si>
  <si>
    <t>সিএম, গোপালগঞ্জ</t>
  </si>
  <si>
    <t>মেট্রোলজি, গোপালগঞ্জ</t>
  </si>
  <si>
    <t>রসায়ন ল্যাব, গোপালগঞ্জ</t>
  </si>
  <si>
    <t>পদার্থ ল্যাব, গোপালগঞ্জ</t>
  </si>
  <si>
    <t>প্রশাসন, গোপালগঞ্জ</t>
  </si>
  <si>
    <t>বিএসটিআই আঞ্চলিক কার্যালয়, নারায়নগঞ্জ</t>
  </si>
  <si>
    <t>সিএম, নারায়নগঞ্জ</t>
  </si>
  <si>
    <t>মেট্রোলজি, নারায়নগঞ্জ</t>
  </si>
  <si>
    <t>রসায়ন ল্যাব, নারায়নগঞ্জ</t>
  </si>
  <si>
    <t>পদার্থ ল্যাব, নারায়নগঞ্জ</t>
  </si>
  <si>
    <t>প্রশাসন, নারায়নগঞ্জ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</si>
</sst>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9" x14ac:knownFonts="1">
    <font>
      <sz val="11"/>
      <color theme="1"/>
      <name val="Aptos Narrow"/>
      <family val="2"/>
      <scheme val="minor"/>
    </font>
    <font>
      <b/>
      <sz val="16"/>
      <name val="Nikosh"/>
    </font>
    <font>
      <sz val="16"/>
      <name val="Nikosh"/>
    </font>
    <font>
      <sz val="16"/>
      <name val="Arial"/>
      <family val="2"/>
    </font>
    <font>
      <sz val="16"/>
      <color indexed="8"/>
      <name val="Nikosh"/>
    </font>
    <font>
      <b/>
      <sz val="16"/>
      <color indexed="8"/>
      <name val="Nikosh"/>
    </font>
    <font>
      <b/>
      <sz val="12"/>
      <color indexed="10"/>
      <name val="Tahoma"/>
      <family val="2"/>
    </font>
    <font>
      <sz val="8"/>
      <name val="Tahoma"/>
      <family val="2"/>
    </font>
    <font>
      <sz val="16"/>
      <color indexed="10"/>
      <name val="SutonnyMJ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164" fontId="1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left" vertical="center"/>
    </xf>
    <xf numFmtId="164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1" fillId="0" borderId="16" xfId="0" applyNumberFormat="1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164" fontId="1" fillId="0" borderId="24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4" fontId="5" fillId="0" borderId="16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164" fontId="1" fillId="0" borderId="27" xfId="0" applyNumberFormat="1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8" fillId="0" borderId="7" xfId="0" quotePrefix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right" vertical="center"/>
    </xf>
    <xf numFmtId="0" fontId="1" fillId="0" borderId="27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164" fontId="1" fillId="0" borderId="20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A462-0B7D-41DE-B674-FBDD913C6BC2}">
  <dimension ref="A1:F39"/>
  <sheetViews>
    <sheetView topLeftCell="A3" workbookViewId="0">
      <selection activeCell="I19" sqref="I19"/>
    </sheetView>
  </sheetViews>
  <sheetFormatPr defaultRowHeight="15" x14ac:dyDescent="0.25"/>
  <cols>
    <col min="5" max="5" width="16.140625" customWidth="1"/>
  </cols>
  <sheetData>
    <row r="1" spans="1:6" ht="22.5" thickBot="1" x14ac:dyDescent="0.3">
      <c r="A1" s="64" t="s">
        <v>19</v>
      </c>
      <c r="B1" s="65"/>
      <c r="C1" s="65"/>
      <c r="D1" s="65"/>
      <c r="E1" s="65"/>
      <c r="F1" s="66"/>
    </row>
    <row r="2" spans="1:6" ht="22.5" thickBot="1" x14ac:dyDescent="0.3">
      <c r="A2" s="74" t="s">
        <v>0</v>
      </c>
      <c r="B2" s="75"/>
      <c r="C2" s="75"/>
      <c r="D2" s="20">
        <f>A3+A4+A5+A6+A7+A8+A9+A10+A11+A12+A13+A14+A15</f>
        <v>25</v>
      </c>
      <c r="E2" s="21"/>
      <c r="F2" s="22"/>
    </row>
    <row r="3" spans="1:6" ht="21.75" x14ac:dyDescent="0.25">
      <c r="A3" s="6">
        <v>1</v>
      </c>
      <c r="B3" s="7" t="s">
        <v>1</v>
      </c>
      <c r="C3" s="69" t="s">
        <v>10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11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58" t="s">
        <v>12</v>
      </c>
      <c r="D5" s="58"/>
      <c r="E5" s="58"/>
      <c r="F5" s="63"/>
    </row>
    <row r="6" spans="1:6" ht="21.75" x14ac:dyDescent="0.25">
      <c r="A6" s="8">
        <v>2</v>
      </c>
      <c r="B6" s="9" t="s">
        <v>1</v>
      </c>
      <c r="C6" s="58" t="s">
        <v>6</v>
      </c>
      <c r="D6" s="58"/>
      <c r="E6" s="58"/>
      <c r="F6" s="63"/>
    </row>
    <row r="7" spans="1:6" ht="21.75" x14ac:dyDescent="0.25">
      <c r="A7" s="8">
        <v>2</v>
      </c>
      <c r="B7" s="9" t="s">
        <v>1</v>
      </c>
      <c r="C7" s="58" t="s">
        <v>13</v>
      </c>
      <c r="D7" s="58"/>
      <c r="E7" s="58"/>
      <c r="F7" s="63"/>
    </row>
    <row r="8" spans="1:6" ht="21.75" x14ac:dyDescent="0.25">
      <c r="A8" s="8">
        <v>1</v>
      </c>
      <c r="B8" s="9" t="s">
        <v>1</v>
      </c>
      <c r="C8" s="58" t="s">
        <v>14</v>
      </c>
      <c r="D8" s="58"/>
      <c r="E8" s="58"/>
      <c r="F8" s="63"/>
    </row>
    <row r="9" spans="1:6" ht="21.75" x14ac:dyDescent="0.25">
      <c r="A9" s="8">
        <v>3</v>
      </c>
      <c r="B9" s="9" t="s">
        <v>1</v>
      </c>
      <c r="C9" s="58" t="s">
        <v>15</v>
      </c>
      <c r="D9" s="58"/>
      <c r="E9" s="58"/>
      <c r="F9" s="63"/>
    </row>
    <row r="10" spans="1:6" ht="21.75" x14ac:dyDescent="0.25">
      <c r="A10" s="8">
        <v>1</v>
      </c>
      <c r="B10" s="9" t="s">
        <v>1</v>
      </c>
      <c r="C10" s="58" t="s">
        <v>16</v>
      </c>
      <c r="D10" s="58"/>
      <c r="E10" s="58"/>
      <c r="F10" s="63"/>
    </row>
    <row r="11" spans="1:6" ht="21.75" x14ac:dyDescent="0.25">
      <c r="A11" s="8">
        <v>1</v>
      </c>
      <c r="B11" s="9" t="s">
        <v>1</v>
      </c>
      <c r="C11" s="58" t="s">
        <v>17</v>
      </c>
      <c r="D11" s="58"/>
      <c r="E11" s="58"/>
      <c r="F11" s="63"/>
    </row>
    <row r="12" spans="1:6" ht="21.75" x14ac:dyDescent="0.25">
      <c r="A12" s="19">
        <v>6</v>
      </c>
      <c r="B12" s="9" t="s">
        <v>1</v>
      </c>
      <c r="C12" s="58" t="s">
        <v>18</v>
      </c>
      <c r="D12" s="58"/>
      <c r="E12" s="58"/>
      <c r="F12" s="73"/>
    </row>
    <row r="13" spans="1:6" ht="21.75" x14ac:dyDescent="0.25">
      <c r="A13" s="8">
        <v>2</v>
      </c>
      <c r="B13" s="9" t="s">
        <v>1</v>
      </c>
      <c r="C13" s="58" t="s">
        <v>5</v>
      </c>
      <c r="D13" s="58"/>
      <c r="E13" s="58"/>
      <c r="F13" s="63"/>
    </row>
    <row r="14" spans="1:6" ht="21.75" x14ac:dyDescent="0.25">
      <c r="A14" s="8">
        <v>2</v>
      </c>
      <c r="B14" s="9" t="s">
        <v>1</v>
      </c>
      <c r="C14" s="58" t="s">
        <v>6</v>
      </c>
      <c r="D14" s="58"/>
      <c r="E14" s="58"/>
      <c r="F14" s="63"/>
    </row>
    <row r="15" spans="1:6" ht="22.5" thickBot="1" x14ac:dyDescent="0.3">
      <c r="A15" s="12">
        <v>2</v>
      </c>
      <c r="B15" s="13" t="s">
        <v>1</v>
      </c>
      <c r="C15" s="80" t="s">
        <v>3</v>
      </c>
      <c r="D15" s="80"/>
      <c r="E15" s="80"/>
      <c r="F15" s="81"/>
    </row>
    <row r="16" spans="1:6" ht="15.75" thickBot="1" x14ac:dyDescent="0.3"/>
    <row r="17" spans="1:6" ht="22.5" thickBot="1" x14ac:dyDescent="0.3">
      <c r="A17" s="64" t="s">
        <v>20</v>
      </c>
      <c r="B17" s="65"/>
      <c r="C17" s="65"/>
      <c r="D17" s="65"/>
      <c r="E17" s="65"/>
      <c r="F17" s="66"/>
    </row>
    <row r="18" spans="1:6" ht="22.5" thickBot="1" x14ac:dyDescent="0.3">
      <c r="A18" s="76" t="s">
        <v>0</v>
      </c>
      <c r="B18" s="77"/>
      <c r="C18" s="77"/>
      <c r="D18" s="3">
        <f>SUM(A19:A30)</f>
        <v>14</v>
      </c>
      <c r="E18" s="4"/>
      <c r="F18" s="5"/>
    </row>
    <row r="19" spans="1:6" ht="21.75" x14ac:dyDescent="0.25">
      <c r="A19" s="6">
        <v>1</v>
      </c>
      <c r="B19" s="7" t="s">
        <v>1</v>
      </c>
      <c r="C19" s="69" t="s">
        <v>7</v>
      </c>
      <c r="D19" s="69"/>
      <c r="E19" s="69"/>
      <c r="F19" s="70"/>
    </row>
    <row r="20" spans="1:6" ht="21.75" x14ac:dyDescent="0.25">
      <c r="A20" s="19">
        <v>1</v>
      </c>
      <c r="B20" s="9" t="s">
        <v>1</v>
      </c>
      <c r="C20" s="58" t="s">
        <v>8</v>
      </c>
      <c r="D20" s="58"/>
      <c r="E20" s="58"/>
      <c r="F20" s="73"/>
    </row>
    <row r="21" spans="1:6" ht="21.75" x14ac:dyDescent="0.25">
      <c r="A21" s="8">
        <v>1</v>
      </c>
      <c r="B21" s="9" t="s">
        <v>1</v>
      </c>
      <c r="C21" s="58" t="s">
        <v>24</v>
      </c>
      <c r="D21" s="58"/>
      <c r="E21" s="58"/>
      <c r="F21" s="63"/>
    </row>
    <row r="22" spans="1:6" ht="21.75" x14ac:dyDescent="0.25">
      <c r="A22" s="8">
        <v>1</v>
      </c>
      <c r="B22" s="9" t="s">
        <v>1</v>
      </c>
      <c r="C22" s="58" t="s">
        <v>25</v>
      </c>
      <c r="D22" s="59"/>
      <c r="E22" s="59"/>
      <c r="F22" s="60"/>
    </row>
    <row r="23" spans="1:6" ht="21.75" x14ac:dyDescent="0.25">
      <c r="A23" s="8">
        <v>1</v>
      </c>
      <c r="B23" s="9" t="s">
        <v>1</v>
      </c>
      <c r="C23" s="58" t="s">
        <v>26</v>
      </c>
      <c r="D23" s="59"/>
      <c r="E23" s="59"/>
      <c r="F23" s="60"/>
    </row>
    <row r="24" spans="1:6" ht="21.75" x14ac:dyDescent="0.25">
      <c r="A24" s="8">
        <v>1</v>
      </c>
      <c r="B24" s="9" t="s">
        <v>1</v>
      </c>
      <c r="C24" s="58" t="s">
        <v>27</v>
      </c>
      <c r="D24" s="59"/>
      <c r="E24" s="59"/>
      <c r="F24" s="60"/>
    </row>
    <row r="25" spans="1:6" ht="21.75" x14ac:dyDescent="0.25">
      <c r="A25" s="8">
        <v>2</v>
      </c>
      <c r="B25" s="9" t="s">
        <v>1</v>
      </c>
      <c r="C25" s="58" t="s">
        <v>28</v>
      </c>
      <c r="D25" s="59"/>
      <c r="E25" s="59"/>
      <c r="F25" s="60"/>
    </row>
    <row r="26" spans="1:6" ht="21.75" x14ac:dyDescent="0.25">
      <c r="A26" s="8">
        <v>1</v>
      </c>
      <c r="B26" s="9" t="s">
        <v>1</v>
      </c>
      <c r="C26" s="58" t="s">
        <v>29</v>
      </c>
      <c r="D26" s="59"/>
      <c r="E26" s="59"/>
      <c r="F26" s="60"/>
    </row>
    <row r="27" spans="1:6" ht="21.75" x14ac:dyDescent="0.25">
      <c r="A27" s="8">
        <v>1</v>
      </c>
      <c r="B27" s="9" t="s">
        <v>1</v>
      </c>
      <c r="C27" s="61" t="s">
        <v>30</v>
      </c>
      <c r="D27" s="59"/>
      <c r="E27" s="59"/>
      <c r="F27" s="60"/>
    </row>
    <row r="28" spans="1:6" ht="21.75" x14ac:dyDescent="0.25">
      <c r="A28" s="8">
        <v>1</v>
      </c>
      <c r="B28" s="9" t="s">
        <v>1</v>
      </c>
      <c r="C28" s="58" t="s">
        <v>31</v>
      </c>
      <c r="D28" s="59"/>
      <c r="E28" s="59"/>
      <c r="F28" s="60"/>
    </row>
    <row r="29" spans="1:6" ht="21.75" x14ac:dyDescent="0.25">
      <c r="A29" s="8">
        <v>2</v>
      </c>
      <c r="B29" s="9" t="s">
        <v>1</v>
      </c>
      <c r="C29" s="58" t="s">
        <v>14</v>
      </c>
      <c r="D29" s="58"/>
      <c r="E29" s="58"/>
      <c r="F29" s="63"/>
    </row>
    <row r="30" spans="1:6" ht="21.75" x14ac:dyDescent="0.25">
      <c r="A30" s="24">
        <v>1</v>
      </c>
      <c r="B30" s="25" t="s">
        <v>1</v>
      </c>
      <c r="C30" s="71" t="s">
        <v>17</v>
      </c>
      <c r="D30" s="78"/>
      <c r="E30" s="78"/>
      <c r="F30" s="79"/>
    </row>
    <row r="31" spans="1:6" ht="15.75" thickBot="1" x14ac:dyDescent="0.3"/>
    <row r="32" spans="1:6" ht="22.5" thickBot="1" x14ac:dyDescent="0.3">
      <c r="A32" s="64" t="s">
        <v>21</v>
      </c>
      <c r="B32" s="65"/>
      <c r="C32" s="65"/>
      <c r="D32" s="65"/>
      <c r="E32" s="65"/>
      <c r="F32" s="66"/>
    </row>
    <row r="33" spans="1:6" ht="22.5" thickBot="1" x14ac:dyDescent="0.3">
      <c r="A33" s="76" t="s">
        <v>0</v>
      </c>
      <c r="B33" s="77"/>
      <c r="C33" s="77"/>
      <c r="D33" s="3">
        <f>SUM(A34:A39)</f>
        <v>6</v>
      </c>
      <c r="E33" s="4"/>
      <c r="F33" s="5"/>
    </row>
    <row r="34" spans="1:6" ht="21.75" x14ac:dyDescent="0.25">
      <c r="A34" s="6">
        <v>1</v>
      </c>
      <c r="B34" s="7" t="s">
        <v>1</v>
      </c>
      <c r="C34" s="69" t="s">
        <v>9</v>
      </c>
      <c r="D34" s="69"/>
      <c r="E34" s="69"/>
      <c r="F34" s="70"/>
    </row>
    <row r="35" spans="1:6" ht="21.75" x14ac:dyDescent="0.25">
      <c r="A35" s="8">
        <v>1</v>
      </c>
      <c r="B35" s="9" t="s">
        <v>1</v>
      </c>
      <c r="C35" s="58" t="s">
        <v>6</v>
      </c>
      <c r="D35" s="58"/>
      <c r="E35" s="58"/>
      <c r="F35" s="73"/>
    </row>
    <row r="36" spans="1:6" ht="21.75" x14ac:dyDescent="0.25">
      <c r="A36" s="8">
        <v>1</v>
      </c>
      <c r="B36" s="9" t="s">
        <v>1</v>
      </c>
      <c r="C36" s="58" t="s">
        <v>22</v>
      </c>
      <c r="D36" s="58"/>
      <c r="E36" s="58"/>
      <c r="F36" s="63"/>
    </row>
    <row r="37" spans="1:6" ht="21.75" x14ac:dyDescent="0.25">
      <c r="A37" s="8">
        <v>1</v>
      </c>
      <c r="B37" s="9" t="s">
        <v>1</v>
      </c>
      <c r="C37" s="58" t="s">
        <v>23</v>
      </c>
      <c r="D37" s="58"/>
      <c r="E37" s="58"/>
      <c r="F37" s="63"/>
    </row>
    <row r="38" spans="1:6" ht="21.75" x14ac:dyDescent="0.25">
      <c r="A38" s="8">
        <v>1</v>
      </c>
      <c r="B38" s="9" t="s">
        <v>1</v>
      </c>
      <c r="C38" s="58" t="s">
        <v>8</v>
      </c>
      <c r="D38" s="58"/>
      <c r="E38" s="58"/>
      <c r="F38" s="63"/>
    </row>
    <row r="39" spans="1:6" ht="21.75" x14ac:dyDescent="0.25">
      <c r="A39" s="24">
        <v>1</v>
      </c>
      <c r="B39" s="25" t="s">
        <v>1</v>
      </c>
      <c r="C39" s="71" t="s">
        <v>3</v>
      </c>
      <c r="D39" s="71"/>
      <c r="E39" s="71"/>
      <c r="F39" s="72"/>
    </row>
  </sheetData>
  <mergeCells count="37">
    <mergeCell ref="C34:F34"/>
    <mergeCell ref="C35:F35"/>
    <mergeCell ref="C36:F36"/>
    <mergeCell ref="C15:F15"/>
    <mergeCell ref="C27:F27"/>
    <mergeCell ref="C28:F28"/>
    <mergeCell ref="C29:F29"/>
    <mergeCell ref="C30:F30"/>
    <mergeCell ref="A33:C33"/>
    <mergeCell ref="C12:F12"/>
    <mergeCell ref="A1:F1"/>
    <mergeCell ref="A2:C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4:F14"/>
    <mergeCell ref="C13:F13"/>
    <mergeCell ref="C37:F37"/>
    <mergeCell ref="C38:F38"/>
    <mergeCell ref="C39:F39"/>
    <mergeCell ref="C22:F22"/>
    <mergeCell ref="C23:F23"/>
    <mergeCell ref="C24:F24"/>
    <mergeCell ref="C25:F25"/>
    <mergeCell ref="C26:F26"/>
    <mergeCell ref="A17:F17"/>
    <mergeCell ref="A18:C18"/>
    <mergeCell ref="C19:F19"/>
    <mergeCell ref="C20:F20"/>
    <mergeCell ref="C21:F21"/>
    <mergeCell ref="A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E926-6E53-4C35-B8D9-9E66A27E8112}">
  <dimension ref="A1:F32"/>
  <sheetViews>
    <sheetView workbookViewId="0">
      <selection activeCell="I9" sqref="I9"/>
    </sheetView>
  </sheetViews>
  <sheetFormatPr defaultRowHeight="15" x14ac:dyDescent="0.25"/>
  <cols>
    <col min="4" max="4" width="11.5703125" customWidth="1"/>
  </cols>
  <sheetData>
    <row r="1" spans="1:6" ht="22.5" thickBot="1" x14ac:dyDescent="0.3">
      <c r="A1" s="64" t="s">
        <v>44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v>2</v>
      </c>
      <c r="E2" s="17"/>
      <c r="F2" s="18"/>
    </row>
    <row r="3" spans="1:6" ht="21.75" x14ac:dyDescent="0.25">
      <c r="A3" s="8">
        <v>1</v>
      </c>
      <c r="B3" s="9" t="s">
        <v>1</v>
      </c>
      <c r="C3" s="69" t="s">
        <v>32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13</v>
      </c>
      <c r="D4" s="58"/>
      <c r="E4" s="58"/>
      <c r="F4" s="63"/>
    </row>
    <row r="5" spans="1:6" ht="15.75" thickBot="1" x14ac:dyDescent="0.3"/>
    <row r="6" spans="1:6" ht="22.5" thickBot="1" x14ac:dyDescent="0.3">
      <c r="A6" s="64" t="s">
        <v>45</v>
      </c>
      <c r="B6" s="65"/>
      <c r="C6" s="65"/>
      <c r="D6" s="65"/>
      <c r="E6" s="65"/>
      <c r="F6" s="66"/>
    </row>
    <row r="7" spans="1:6" ht="22.5" thickBot="1" x14ac:dyDescent="0.3">
      <c r="A7" s="67" t="s">
        <v>0</v>
      </c>
      <c r="B7" s="68"/>
      <c r="C7" s="68"/>
      <c r="D7" s="1">
        <f>A8+A9+A10+A11+A12+A13</f>
        <v>7</v>
      </c>
      <c r="E7" s="17"/>
      <c r="F7" s="18"/>
    </row>
    <row r="8" spans="1:6" ht="21.75" x14ac:dyDescent="0.25">
      <c r="A8" s="8">
        <v>1</v>
      </c>
      <c r="B8" s="9" t="s">
        <v>1</v>
      </c>
      <c r="C8" s="58" t="s">
        <v>33</v>
      </c>
      <c r="D8" s="58"/>
      <c r="E8" s="58"/>
      <c r="F8" s="63"/>
    </row>
    <row r="9" spans="1:6" ht="21.75" x14ac:dyDescent="0.25">
      <c r="A9" s="8">
        <v>1</v>
      </c>
      <c r="B9" s="9" t="s">
        <v>1</v>
      </c>
      <c r="C9" s="58" t="s">
        <v>34</v>
      </c>
      <c r="D9" s="58"/>
      <c r="E9" s="58"/>
      <c r="F9" s="63"/>
    </row>
    <row r="10" spans="1:6" ht="21.75" x14ac:dyDescent="0.25">
      <c r="A10" s="8">
        <v>1</v>
      </c>
      <c r="B10" s="9" t="s">
        <v>1</v>
      </c>
      <c r="C10" s="58" t="s">
        <v>35</v>
      </c>
      <c r="D10" s="59"/>
      <c r="E10" s="59"/>
      <c r="F10" s="60"/>
    </row>
    <row r="11" spans="1:6" ht="21.75" x14ac:dyDescent="0.25">
      <c r="A11" s="8">
        <v>3</v>
      </c>
      <c r="B11" s="9" t="s">
        <v>1</v>
      </c>
      <c r="C11" s="58" t="s">
        <v>36</v>
      </c>
      <c r="D11" s="58"/>
      <c r="E11" s="58"/>
      <c r="F11" s="63"/>
    </row>
    <row r="12" spans="1:6" ht="21.75" x14ac:dyDescent="0.25">
      <c r="A12" s="8">
        <v>1</v>
      </c>
      <c r="B12" s="9" t="s">
        <v>1</v>
      </c>
      <c r="C12" s="58" t="s">
        <v>2</v>
      </c>
      <c r="D12" s="58"/>
      <c r="E12" s="58"/>
      <c r="F12" s="63"/>
    </row>
    <row r="13" spans="1:6" ht="15.75" thickBot="1" x14ac:dyDescent="0.3"/>
    <row r="14" spans="1:6" ht="22.5" thickBot="1" x14ac:dyDescent="0.3">
      <c r="A14" s="64" t="s">
        <v>46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9</v>
      </c>
      <c r="E15" s="17"/>
      <c r="F15" s="18"/>
    </row>
    <row r="16" spans="1:6" ht="21.75" x14ac:dyDescent="0.25">
      <c r="A16" s="8">
        <v>1</v>
      </c>
      <c r="B16" s="9" t="s">
        <v>1</v>
      </c>
      <c r="C16" s="58" t="s">
        <v>37</v>
      </c>
      <c r="D16" s="58"/>
      <c r="E16" s="58"/>
      <c r="F16" s="63"/>
    </row>
    <row r="17" spans="1:6" ht="21.75" x14ac:dyDescent="0.25">
      <c r="A17" s="8">
        <v>1</v>
      </c>
      <c r="B17" s="9" t="s">
        <v>1</v>
      </c>
      <c r="C17" s="58" t="s">
        <v>38</v>
      </c>
      <c r="D17" s="58"/>
      <c r="E17" s="58"/>
      <c r="F17" s="63"/>
    </row>
    <row r="18" spans="1:6" ht="21.75" x14ac:dyDescent="0.25">
      <c r="A18" s="8">
        <v>1</v>
      </c>
      <c r="B18" s="9" t="s">
        <v>1</v>
      </c>
      <c r="C18" s="58" t="s">
        <v>39</v>
      </c>
      <c r="D18" s="58"/>
      <c r="E18" s="58"/>
      <c r="F18" s="63"/>
    </row>
    <row r="19" spans="1:6" ht="21.75" x14ac:dyDescent="0.25">
      <c r="A19" s="8">
        <v>1</v>
      </c>
      <c r="B19" s="9" t="s">
        <v>1</v>
      </c>
      <c r="C19" s="61" t="s">
        <v>40</v>
      </c>
      <c r="D19" s="59"/>
      <c r="E19" s="59"/>
      <c r="F19" s="60"/>
    </row>
    <row r="20" spans="1:6" ht="21.75" x14ac:dyDescent="0.25">
      <c r="A20" s="8">
        <v>1</v>
      </c>
      <c r="B20" s="9" t="s">
        <v>1</v>
      </c>
      <c r="C20" s="58" t="s">
        <v>13</v>
      </c>
      <c r="D20" s="58"/>
      <c r="E20" s="58"/>
      <c r="F20" s="63"/>
    </row>
    <row r="21" spans="1:6" ht="21.75" x14ac:dyDescent="0.25">
      <c r="A21" s="8">
        <v>1</v>
      </c>
      <c r="B21" s="9" t="s">
        <v>1</v>
      </c>
      <c r="C21" s="58" t="s">
        <v>8</v>
      </c>
      <c r="D21" s="58"/>
      <c r="E21" s="58"/>
      <c r="F21" s="63"/>
    </row>
    <row r="22" spans="1:6" ht="21.75" x14ac:dyDescent="0.25">
      <c r="A22" s="8">
        <v>2</v>
      </c>
      <c r="B22" s="9" t="s">
        <v>1</v>
      </c>
      <c r="C22" s="58" t="s">
        <v>36</v>
      </c>
      <c r="D22" s="58"/>
      <c r="E22" s="58"/>
      <c r="F22" s="63"/>
    </row>
    <row r="23" spans="1:6" ht="21.75" x14ac:dyDescent="0.25">
      <c r="A23" s="8">
        <v>1</v>
      </c>
      <c r="B23" s="9" t="s">
        <v>1</v>
      </c>
      <c r="C23" s="58" t="s">
        <v>3</v>
      </c>
      <c r="D23" s="58"/>
      <c r="E23" s="58"/>
      <c r="F23" s="63"/>
    </row>
    <row r="24" spans="1:6" ht="15.75" thickBot="1" x14ac:dyDescent="0.3"/>
    <row r="25" spans="1:6" ht="22.5" thickBot="1" x14ac:dyDescent="0.3">
      <c r="A25" s="64" t="s">
        <v>47</v>
      </c>
      <c r="B25" s="65"/>
      <c r="C25" s="65"/>
      <c r="D25" s="65"/>
      <c r="E25" s="65"/>
      <c r="F25" s="66"/>
    </row>
    <row r="26" spans="1:6" ht="22.5" thickBot="1" x14ac:dyDescent="0.3">
      <c r="A26" s="67" t="s">
        <v>0</v>
      </c>
      <c r="B26" s="68"/>
      <c r="C26" s="68"/>
      <c r="D26" s="1">
        <f>A27+A28+A29+A30+A31+A32+A33+A34+A35</f>
        <v>6</v>
      </c>
      <c r="E26" s="17"/>
      <c r="F26" s="18"/>
    </row>
    <row r="27" spans="1:6" ht="21.75" x14ac:dyDescent="0.25">
      <c r="A27" s="8">
        <v>1</v>
      </c>
      <c r="B27" s="9" t="s">
        <v>1</v>
      </c>
      <c r="C27" s="58" t="s">
        <v>41</v>
      </c>
      <c r="D27" s="58"/>
      <c r="E27" s="58"/>
      <c r="F27" s="63"/>
    </row>
    <row r="28" spans="1:6" ht="21.75" x14ac:dyDescent="0.25">
      <c r="A28" s="8">
        <v>1</v>
      </c>
      <c r="B28" s="9" t="s">
        <v>1</v>
      </c>
      <c r="C28" s="58" t="s">
        <v>42</v>
      </c>
      <c r="D28" s="58"/>
      <c r="E28" s="58"/>
      <c r="F28" s="63"/>
    </row>
    <row r="29" spans="1:6" ht="21.75" x14ac:dyDescent="0.25">
      <c r="A29" s="8">
        <v>1</v>
      </c>
      <c r="B29" s="9" t="s">
        <v>1</v>
      </c>
      <c r="C29" s="58" t="s">
        <v>43</v>
      </c>
      <c r="D29" s="58"/>
      <c r="E29" s="58"/>
      <c r="F29" s="63"/>
    </row>
    <row r="30" spans="1:6" ht="21.75" x14ac:dyDescent="0.25">
      <c r="A30" s="8">
        <v>1</v>
      </c>
      <c r="B30" s="9" t="s">
        <v>1</v>
      </c>
      <c r="C30" s="58" t="s">
        <v>6</v>
      </c>
      <c r="D30" s="58"/>
      <c r="E30" s="58"/>
      <c r="F30" s="63"/>
    </row>
    <row r="31" spans="1:6" ht="21.75" x14ac:dyDescent="0.25">
      <c r="A31" s="8">
        <v>1</v>
      </c>
      <c r="B31" s="9" t="s">
        <v>1</v>
      </c>
      <c r="C31" s="58" t="s">
        <v>8</v>
      </c>
      <c r="D31" s="58"/>
      <c r="E31" s="58"/>
      <c r="F31" s="63"/>
    </row>
    <row r="32" spans="1:6" ht="21.75" x14ac:dyDescent="0.25">
      <c r="A32" s="8">
        <v>1</v>
      </c>
      <c r="B32" s="9" t="s">
        <v>1</v>
      </c>
      <c r="C32" s="58" t="s">
        <v>3</v>
      </c>
      <c r="D32" s="58"/>
      <c r="E32" s="58"/>
      <c r="F32" s="63"/>
    </row>
  </sheetData>
  <mergeCells count="29">
    <mergeCell ref="A14:F14"/>
    <mergeCell ref="A1:F1"/>
    <mergeCell ref="A2:C2"/>
    <mergeCell ref="C3:F3"/>
    <mergeCell ref="C4:F4"/>
    <mergeCell ref="A6:F6"/>
    <mergeCell ref="A7:C7"/>
    <mergeCell ref="C8:F8"/>
    <mergeCell ref="C9:F9"/>
    <mergeCell ref="C10:F10"/>
    <mergeCell ref="C11:F11"/>
    <mergeCell ref="C12:F12"/>
    <mergeCell ref="C27:F27"/>
    <mergeCell ref="A15:C15"/>
    <mergeCell ref="C16:F16"/>
    <mergeCell ref="C17:F17"/>
    <mergeCell ref="C18:F18"/>
    <mergeCell ref="C19:F19"/>
    <mergeCell ref="C20:F20"/>
    <mergeCell ref="C21:F21"/>
    <mergeCell ref="C22:F22"/>
    <mergeCell ref="C23:F23"/>
    <mergeCell ref="A25:F25"/>
    <mergeCell ref="A26:C26"/>
    <mergeCell ref="C28:F28"/>
    <mergeCell ref="C29:F29"/>
    <mergeCell ref="C30:F30"/>
    <mergeCell ref="C31:F31"/>
    <mergeCell ref="C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FAC1-F2FB-40CF-A781-4D0C517D731F}">
  <dimension ref="A1:F61"/>
  <sheetViews>
    <sheetView topLeftCell="A28" workbookViewId="0">
      <selection activeCell="I51" sqref="I51"/>
    </sheetView>
  </sheetViews>
  <sheetFormatPr defaultRowHeight="15" x14ac:dyDescent="0.25"/>
  <sheetData>
    <row r="1" spans="1:6" ht="22.5" thickBot="1" x14ac:dyDescent="0.3">
      <c r="A1" s="64" t="s">
        <v>48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 t="e">
        <f>A3+A4+A5+A6+A7+A8+A9+A10</f>
        <v>#VALUE!</v>
      </c>
      <c r="E2" s="2"/>
      <c r="F2" s="18"/>
    </row>
    <row r="3" spans="1:6" ht="21.75" x14ac:dyDescent="0.25">
      <c r="A3" s="8">
        <v>1</v>
      </c>
      <c r="B3" s="9" t="s">
        <v>1</v>
      </c>
      <c r="C3" s="58" t="s">
        <v>49</v>
      </c>
      <c r="D3" s="58"/>
      <c r="E3" s="58"/>
      <c r="F3" s="63"/>
    </row>
    <row r="4" spans="1:6" ht="21.75" x14ac:dyDescent="0.25">
      <c r="A4" s="8">
        <v>1</v>
      </c>
      <c r="B4" s="9" t="s">
        <v>1</v>
      </c>
      <c r="C4" s="58" t="s">
        <v>50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85" t="s">
        <v>8</v>
      </c>
      <c r="D5" s="85"/>
      <c r="E5" s="85"/>
      <c r="F5" s="86"/>
    </row>
    <row r="6" spans="1:6" ht="21.75" x14ac:dyDescent="0.25">
      <c r="A6" s="8">
        <v>1</v>
      </c>
      <c r="B6" s="9" t="s">
        <v>1</v>
      </c>
      <c r="C6" s="58" t="s">
        <v>51</v>
      </c>
      <c r="D6" s="58"/>
      <c r="E6" s="58"/>
      <c r="F6" s="63"/>
    </row>
    <row r="7" spans="1:6" ht="21.75" x14ac:dyDescent="0.25">
      <c r="A7" s="8">
        <v>1</v>
      </c>
      <c r="B7" s="9" t="s">
        <v>1</v>
      </c>
      <c r="C7" s="58" t="s">
        <v>52</v>
      </c>
      <c r="D7" s="87"/>
      <c r="E7" s="87"/>
      <c r="F7" s="88"/>
    </row>
    <row r="8" spans="1:6" ht="21.75" x14ac:dyDescent="0.25">
      <c r="A8" s="8">
        <v>1</v>
      </c>
      <c r="B8" s="9" t="s">
        <v>1</v>
      </c>
      <c r="C8" s="58" t="s">
        <v>2</v>
      </c>
      <c r="D8" s="59"/>
      <c r="E8" s="59"/>
      <c r="F8" s="60"/>
    </row>
    <row r="9" spans="1:6" ht="15.75" thickBot="1" x14ac:dyDescent="0.3"/>
    <row r="10" spans="1:6" ht="22.5" thickBot="1" x14ac:dyDescent="0.3">
      <c r="A10" s="82" t="s">
        <v>53</v>
      </c>
      <c r="B10" s="83"/>
      <c r="C10" s="83"/>
      <c r="D10" s="83"/>
      <c r="E10" s="83"/>
      <c r="F10" s="84"/>
    </row>
    <row r="11" spans="1:6" ht="22.5" thickBot="1" x14ac:dyDescent="0.3">
      <c r="A11" s="67" t="s">
        <v>0</v>
      </c>
      <c r="B11" s="68"/>
      <c r="C11" s="68"/>
      <c r="D11" s="1" t="e">
        <f>A12+A13+A14+A15+A16+A17+A18+A19+A20</f>
        <v>#VALUE!</v>
      </c>
      <c r="E11" s="17"/>
      <c r="F11" s="18"/>
    </row>
    <row r="12" spans="1:6" ht="21.75" x14ac:dyDescent="0.25">
      <c r="A12" s="6">
        <v>1</v>
      </c>
      <c r="B12" s="7" t="s">
        <v>1</v>
      </c>
      <c r="C12" s="69" t="s">
        <v>54</v>
      </c>
      <c r="D12" s="69"/>
      <c r="E12" s="69"/>
      <c r="F12" s="70"/>
    </row>
    <row r="13" spans="1:6" ht="21.75" x14ac:dyDescent="0.25">
      <c r="A13" s="8">
        <v>1</v>
      </c>
      <c r="B13" s="9" t="s">
        <v>1</v>
      </c>
      <c r="C13" s="58" t="s">
        <v>55</v>
      </c>
      <c r="D13" s="58"/>
      <c r="E13" s="58"/>
      <c r="F13" s="63"/>
    </row>
    <row r="14" spans="1:6" ht="21.75" x14ac:dyDescent="0.25">
      <c r="A14" s="8">
        <v>2</v>
      </c>
      <c r="B14" s="9" t="s">
        <v>1</v>
      </c>
      <c r="C14" s="58" t="s">
        <v>56</v>
      </c>
      <c r="D14" s="58"/>
      <c r="E14" s="58"/>
      <c r="F14" s="63"/>
    </row>
    <row r="15" spans="1:6" ht="21.75" x14ac:dyDescent="0.25">
      <c r="A15" s="8">
        <v>2</v>
      </c>
      <c r="B15" s="9" t="s">
        <v>1</v>
      </c>
      <c r="C15" s="58" t="s">
        <v>57</v>
      </c>
      <c r="D15" s="58"/>
      <c r="E15" s="58"/>
      <c r="F15" s="63"/>
    </row>
    <row r="16" spans="1:6" ht="21.75" x14ac:dyDescent="0.25">
      <c r="A16" s="8">
        <v>1</v>
      </c>
      <c r="B16" s="9" t="s">
        <v>1</v>
      </c>
      <c r="C16" s="85" t="s">
        <v>14</v>
      </c>
      <c r="D16" s="85"/>
      <c r="E16" s="85"/>
      <c r="F16" s="86"/>
    </row>
    <row r="17" spans="1:6" ht="21.75" x14ac:dyDescent="0.25">
      <c r="A17" s="8">
        <v>1</v>
      </c>
      <c r="B17" s="9" t="s">
        <v>1</v>
      </c>
      <c r="C17" s="58" t="s">
        <v>3</v>
      </c>
      <c r="D17" s="58"/>
      <c r="E17" s="58"/>
      <c r="F17" s="63"/>
    </row>
    <row r="18" spans="1:6" ht="15.75" thickBot="1" x14ac:dyDescent="0.3"/>
    <row r="19" spans="1:6" ht="22.5" thickBot="1" x14ac:dyDescent="0.3">
      <c r="A19" s="82" t="s">
        <v>58</v>
      </c>
      <c r="B19" s="83"/>
      <c r="C19" s="83"/>
      <c r="D19" s="83"/>
      <c r="E19" s="83"/>
      <c r="F19" s="84"/>
    </row>
    <row r="20" spans="1:6" ht="22.5" thickBot="1" x14ac:dyDescent="0.3">
      <c r="A20" s="67" t="s">
        <v>0</v>
      </c>
      <c r="B20" s="68"/>
      <c r="C20" s="68"/>
      <c r="D20" s="1" t="e">
        <f>A21+A22+A23+A24+A25+A26+A27+A28+A29</f>
        <v>#VALUE!</v>
      </c>
      <c r="E20" s="17"/>
      <c r="F20" s="18"/>
    </row>
    <row r="21" spans="1:6" ht="21.75" x14ac:dyDescent="0.25">
      <c r="A21" s="6">
        <v>1</v>
      </c>
      <c r="B21" s="7" t="s">
        <v>1</v>
      </c>
      <c r="C21" s="69" t="s">
        <v>59</v>
      </c>
      <c r="D21" s="69"/>
      <c r="E21" s="69"/>
      <c r="F21" s="70"/>
    </row>
    <row r="22" spans="1:6" ht="21.75" x14ac:dyDescent="0.25">
      <c r="A22" s="8">
        <v>1</v>
      </c>
      <c r="B22" s="9" t="s">
        <v>1</v>
      </c>
      <c r="C22" s="58" t="s">
        <v>60</v>
      </c>
      <c r="D22" s="58"/>
      <c r="E22" s="58"/>
      <c r="F22" s="63"/>
    </row>
    <row r="23" spans="1:6" ht="21.75" x14ac:dyDescent="0.25">
      <c r="A23" s="8">
        <v>2</v>
      </c>
      <c r="B23" s="9" t="s">
        <v>1</v>
      </c>
      <c r="C23" s="58" t="s">
        <v>61</v>
      </c>
      <c r="D23" s="58"/>
      <c r="E23" s="58"/>
      <c r="F23" s="63"/>
    </row>
    <row r="24" spans="1:6" ht="21.75" x14ac:dyDescent="0.25">
      <c r="A24" s="8">
        <v>2</v>
      </c>
      <c r="B24" s="9" t="s">
        <v>1</v>
      </c>
      <c r="C24" s="58" t="s">
        <v>62</v>
      </c>
      <c r="D24" s="58"/>
      <c r="E24" s="58"/>
      <c r="F24" s="63"/>
    </row>
    <row r="25" spans="1:6" ht="21.75" x14ac:dyDescent="0.25">
      <c r="A25" s="8">
        <v>1</v>
      </c>
      <c r="B25" s="9" t="s">
        <v>1</v>
      </c>
      <c r="C25" s="85" t="s">
        <v>14</v>
      </c>
      <c r="D25" s="85"/>
      <c r="E25" s="85"/>
      <c r="F25" s="86"/>
    </row>
    <row r="26" spans="1:6" ht="21.75" x14ac:dyDescent="0.25">
      <c r="A26" s="8">
        <v>1</v>
      </c>
      <c r="B26" s="9" t="s">
        <v>1</v>
      </c>
      <c r="C26" s="58" t="s">
        <v>2</v>
      </c>
      <c r="D26" s="58"/>
      <c r="E26" s="58"/>
      <c r="F26" s="63"/>
    </row>
    <row r="27" spans="1:6" ht="15.75" thickBot="1" x14ac:dyDescent="0.3"/>
    <row r="28" spans="1:6" ht="22.5" thickBot="1" x14ac:dyDescent="0.3">
      <c r="A28" s="82" t="s">
        <v>63</v>
      </c>
      <c r="B28" s="83"/>
      <c r="C28" s="83"/>
      <c r="D28" s="83"/>
      <c r="E28" s="83"/>
      <c r="F28" s="84"/>
    </row>
    <row r="29" spans="1:6" ht="22.5" thickBot="1" x14ac:dyDescent="0.3">
      <c r="A29" s="67" t="s">
        <v>0</v>
      </c>
      <c r="B29" s="68"/>
      <c r="C29" s="68"/>
      <c r="D29" s="1" t="e">
        <f>A30+A31+A32+A33+A34+A35+A36+A37+A38</f>
        <v>#VALUE!</v>
      </c>
      <c r="E29" s="17"/>
      <c r="F29" s="18"/>
    </row>
    <row r="30" spans="1:6" ht="21.75" x14ac:dyDescent="0.25">
      <c r="A30" s="6">
        <v>1</v>
      </c>
      <c r="B30" s="7" t="s">
        <v>1</v>
      </c>
      <c r="C30" s="69" t="s">
        <v>64</v>
      </c>
      <c r="D30" s="69"/>
      <c r="E30" s="69"/>
      <c r="F30" s="70"/>
    </row>
    <row r="31" spans="1:6" ht="21.75" x14ac:dyDescent="0.25">
      <c r="A31" s="8">
        <v>1</v>
      </c>
      <c r="B31" s="9" t="s">
        <v>1</v>
      </c>
      <c r="C31" s="58" t="s">
        <v>65</v>
      </c>
      <c r="D31" s="58"/>
      <c r="E31" s="58"/>
      <c r="F31" s="63"/>
    </row>
    <row r="32" spans="1:6" ht="21.75" x14ac:dyDescent="0.25">
      <c r="A32" s="8">
        <v>2</v>
      </c>
      <c r="B32" s="9" t="s">
        <v>1</v>
      </c>
      <c r="C32" s="58" t="s">
        <v>66</v>
      </c>
      <c r="D32" s="58"/>
      <c r="E32" s="58"/>
      <c r="F32" s="63"/>
    </row>
    <row r="33" spans="1:6" ht="21.75" x14ac:dyDescent="0.25">
      <c r="A33" s="8">
        <v>2</v>
      </c>
      <c r="B33" s="9" t="s">
        <v>1</v>
      </c>
      <c r="C33" s="58" t="s">
        <v>67</v>
      </c>
      <c r="D33" s="58"/>
      <c r="E33" s="58"/>
      <c r="F33" s="63"/>
    </row>
    <row r="34" spans="1:6" ht="21.75" x14ac:dyDescent="0.25">
      <c r="A34" s="8">
        <v>1</v>
      </c>
      <c r="B34" s="9" t="s">
        <v>1</v>
      </c>
      <c r="C34" s="85" t="s">
        <v>14</v>
      </c>
      <c r="D34" s="85"/>
      <c r="E34" s="85"/>
      <c r="F34" s="86"/>
    </row>
    <row r="35" spans="1:6" ht="21.75" x14ac:dyDescent="0.25">
      <c r="A35" s="8">
        <v>1</v>
      </c>
      <c r="B35" s="9" t="s">
        <v>1</v>
      </c>
      <c r="C35" s="58" t="s">
        <v>2</v>
      </c>
      <c r="D35" s="58"/>
      <c r="E35" s="58"/>
      <c r="F35" s="63"/>
    </row>
    <row r="36" spans="1:6" ht="15.75" thickBot="1" x14ac:dyDescent="0.3"/>
    <row r="37" spans="1:6" ht="22.5" thickBot="1" x14ac:dyDescent="0.3">
      <c r="A37" s="82" t="s">
        <v>68</v>
      </c>
      <c r="B37" s="83"/>
      <c r="C37" s="83"/>
      <c r="D37" s="83"/>
      <c r="E37" s="83"/>
      <c r="F37" s="84"/>
    </row>
    <row r="38" spans="1:6" ht="22.5" thickBot="1" x14ac:dyDescent="0.3">
      <c r="A38" s="67" t="s">
        <v>0</v>
      </c>
      <c r="B38" s="68"/>
      <c r="C38" s="68"/>
      <c r="D38" s="1" t="e">
        <f>A39+A40+A41+A42+A43+A44+A45+A46+A47</f>
        <v>#VALUE!</v>
      </c>
      <c r="E38" s="17"/>
      <c r="F38" s="18"/>
    </row>
    <row r="39" spans="1:6" ht="21.75" x14ac:dyDescent="0.25">
      <c r="A39" s="6">
        <v>1</v>
      </c>
      <c r="B39" s="7" t="s">
        <v>1</v>
      </c>
      <c r="C39" s="69" t="s">
        <v>69</v>
      </c>
      <c r="D39" s="69"/>
      <c r="E39" s="69"/>
      <c r="F39" s="70"/>
    </row>
    <row r="40" spans="1:6" ht="21.75" x14ac:dyDescent="0.25">
      <c r="A40" s="8">
        <v>2</v>
      </c>
      <c r="B40" s="9" t="s">
        <v>1</v>
      </c>
      <c r="C40" s="58" t="s">
        <v>70</v>
      </c>
      <c r="D40" s="58"/>
      <c r="E40" s="58"/>
      <c r="F40" s="63"/>
    </row>
    <row r="41" spans="1:6" ht="21.75" x14ac:dyDescent="0.25">
      <c r="A41" s="8">
        <v>2</v>
      </c>
      <c r="B41" s="9" t="s">
        <v>1</v>
      </c>
      <c r="C41" s="58" t="s">
        <v>71</v>
      </c>
      <c r="D41" s="58"/>
      <c r="E41" s="58"/>
      <c r="F41" s="63"/>
    </row>
    <row r="42" spans="1:6" ht="21.75" x14ac:dyDescent="0.25">
      <c r="A42" s="8">
        <v>2</v>
      </c>
      <c r="B42" s="9" t="s">
        <v>1</v>
      </c>
      <c r="C42" s="58" t="s">
        <v>72</v>
      </c>
      <c r="D42" s="58"/>
      <c r="E42" s="58"/>
      <c r="F42" s="63"/>
    </row>
    <row r="43" spans="1:6" ht="21.75" x14ac:dyDescent="0.25">
      <c r="A43" s="8">
        <v>1</v>
      </c>
      <c r="B43" s="9" t="s">
        <v>1</v>
      </c>
      <c r="C43" s="85" t="s">
        <v>14</v>
      </c>
      <c r="D43" s="85"/>
      <c r="E43" s="85"/>
      <c r="F43" s="86"/>
    </row>
    <row r="44" spans="1:6" ht="21.75" x14ac:dyDescent="0.25">
      <c r="A44" s="8">
        <v>1</v>
      </c>
      <c r="B44" s="9" t="s">
        <v>1</v>
      </c>
      <c r="C44" s="58" t="s">
        <v>2</v>
      </c>
      <c r="D44" s="58"/>
      <c r="E44" s="58"/>
      <c r="F44" s="63"/>
    </row>
    <row r="45" spans="1:6" ht="15.75" thickBot="1" x14ac:dyDescent="0.3"/>
    <row r="46" spans="1:6" ht="22.5" thickBot="1" x14ac:dyDescent="0.3">
      <c r="A46" s="82" t="s">
        <v>73</v>
      </c>
      <c r="B46" s="83"/>
      <c r="C46" s="83"/>
      <c r="D46" s="83"/>
      <c r="E46" s="83"/>
      <c r="F46" s="84"/>
    </row>
    <row r="47" spans="1:6" ht="22.5" thickBot="1" x14ac:dyDescent="0.3">
      <c r="A47" s="67" t="s">
        <v>0</v>
      </c>
      <c r="B47" s="68"/>
      <c r="C47" s="68"/>
      <c r="D47" s="1">
        <f>A48+A49+A50+A51+A52+A53+A54</f>
        <v>9</v>
      </c>
      <c r="E47" s="17"/>
      <c r="F47" s="18"/>
    </row>
    <row r="48" spans="1:6" ht="21.75" x14ac:dyDescent="0.25">
      <c r="A48" s="6">
        <v>1</v>
      </c>
      <c r="B48" s="7" t="s">
        <v>1</v>
      </c>
      <c r="C48" s="69" t="s">
        <v>74</v>
      </c>
      <c r="D48" s="69"/>
      <c r="E48" s="69"/>
      <c r="F48" s="70"/>
    </row>
    <row r="49" spans="1:6" ht="21.75" x14ac:dyDescent="0.25">
      <c r="A49" s="8">
        <v>2</v>
      </c>
      <c r="B49" s="9" t="s">
        <v>1</v>
      </c>
      <c r="C49" s="58" t="s">
        <v>75</v>
      </c>
      <c r="D49" s="58"/>
      <c r="E49" s="58"/>
      <c r="F49" s="63"/>
    </row>
    <row r="50" spans="1:6" ht="21.75" x14ac:dyDescent="0.25">
      <c r="A50" s="8">
        <v>2</v>
      </c>
      <c r="B50" s="9" t="s">
        <v>1</v>
      </c>
      <c r="C50" s="58" t="s">
        <v>76</v>
      </c>
      <c r="D50" s="58"/>
      <c r="E50" s="58"/>
      <c r="F50" s="63"/>
    </row>
    <row r="51" spans="1:6" ht="21.75" x14ac:dyDescent="0.25">
      <c r="A51" s="8">
        <v>2</v>
      </c>
      <c r="B51" s="9" t="s">
        <v>1</v>
      </c>
      <c r="C51" s="58" t="s">
        <v>77</v>
      </c>
      <c r="D51" s="58"/>
      <c r="E51" s="58"/>
      <c r="F51" s="63"/>
    </row>
    <row r="52" spans="1:6" ht="21.75" x14ac:dyDescent="0.25">
      <c r="A52" s="8">
        <v>1</v>
      </c>
      <c r="B52" s="9" t="s">
        <v>1</v>
      </c>
      <c r="C52" s="85" t="s">
        <v>14</v>
      </c>
      <c r="D52" s="85"/>
      <c r="E52" s="85"/>
      <c r="F52" s="86"/>
    </row>
    <row r="53" spans="1:6" ht="21.75" x14ac:dyDescent="0.25">
      <c r="A53" s="8">
        <v>1</v>
      </c>
      <c r="B53" s="9" t="s">
        <v>1</v>
      </c>
      <c r="C53" s="58" t="s">
        <v>2</v>
      </c>
      <c r="D53" s="58"/>
      <c r="E53" s="58"/>
      <c r="F53" s="63"/>
    </row>
    <row r="54" spans="1:6" ht="15.75" thickBot="1" x14ac:dyDescent="0.3"/>
    <row r="55" spans="1:6" ht="22.5" thickBot="1" x14ac:dyDescent="0.3">
      <c r="A55" s="82" t="s">
        <v>78</v>
      </c>
      <c r="B55" s="83"/>
      <c r="C55" s="83"/>
      <c r="D55" s="83"/>
      <c r="E55" s="83"/>
      <c r="F55" s="84"/>
    </row>
    <row r="56" spans="1:6" ht="22.5" thickBot="1" x14ac:dyDescent="0.3">
      <c r="A56" s="67" t="s">
        <v>0</v>
      </c>
      <c r="B56" s="68"/>
      <c r="C56" s="68"/>
      <c r="D56" s="1">
        <f>A57+A58+A59+A60+A61+A62+A63</f>
        <v>9</v>
      </c>
      <c r="E56" s="17"/>
      <c r="F56" s="18"/>
    </row>
    <row r="57" spans="1:6" ht="21.75" x14ac:dyDescent="0.25">
      <c r="A57" s="8">
        <v>1</v>
      </c>
      <c r="B57" s="9" t="s">
        <v>1</v>
      </c>
      <c r="C57" s="58" t="s">
        <v>79</v>
      </c>
      <c r="D57" s="58"/>
      <c r="E57" s="58"/>
      <c r="F57" s="63"/>
    </row>
    <row r="58" spans="1:6" ht="21.75" x14ac:dyDescent="0.25">
      <c r="A58" s="8">
        <v>2</v>
      </c>
      <c r="B58" s="9" t="s">
        <v>1</v>
      </c>
      <c r="C58" s="58" t="s">
        <v>80</v>
      </c>
      <c r="D58" s="58"/>
      <c r="E58" s="58"/>
      <c r="F58" s="63"/>
    </row>
    <row r="59" spans="1:6" ht="21.75" x14ac:dyDescent="0.25">
      <c r="A59" s="8">
        <v>4</v>
      </c>
      <c r="B59" s="9" t="s">
        <v>1</v>
      </c>
      <c r="C59" s="58" t="s">
        <v>81</v>
      </c>
      <c r="D59" s="58"/>
      <c r="E59" s="58"/>
      <c r="F59" s="63"/>
    </row>
    <row r="60" spans="1:6" ht="21.75" x14ac:dyDescent="0.25">
      <c r="A60" s="8">
        <v>1</v>
      </c>
      <c r="B60" s="9" t="s">
        <v>1</v>
      </c>
      <c r="C60" s="85" t="s">
        <v>14</v>
      </c>
      <c r="D60" s="85"/>
      <c r="E60" s="85"/>
      <c r="F60" s="86"/>
    </row>
    <row r="61" spans="1:6" ht="21.75" x14ac:dyDescent="0.25">
      <c r="A61" s="8">
        <v>1</v>
      </c>
      <c r="B61" s="9" t="s">
        <v>1</v>
      </c>
      <c r="C61" s="58" t="s">
        <v>2</v>
      </c>
      <c r="D61" s="58"/>
      <c r="E61" s="58"/>
      <c r="F61" s="63"/>
    </row>
  </sheetData>
  <mergeCells count="55">
    <mergeCell ref="C13:F13"/>
    <mergeCell ref="A1:F1"/>
    <mergeCell ref="A2:C2"/>
    <mergeCell ref="C3:F3"/>
    <mergeCell ref="C4:F4"/>
    <mergeCell ref="C5:F5"/>
    <mergeCell ref="C6:F6"/>
    <mergeCell ref="C7:F7"/>
    <mergeCell ref="C8:F8"/>
    <mergeCell ref="A10:F10"/>
    <mergeCell ref="A11:C11"/>
    <mergeCell ref="C12:F12"/>
    <mergeCell ref="C26:F26"/>
    <mergeCell ref="C14:F14"/>
    <mergeCell ref="C15:F15"/>
    <mergeCell ref="C16:F16"/>
    <mergeCell ref="C17:F17"/>
    <mergeCell ref="A19:F19"/>
    <mergeCell ref="A20:C20"/>
    <mergeCell ref="C21:F21"/>
    <mergeCell ref="C22:F22"/>
    <mergeCell ref="C23:F23"/>
    <mergeCell ref="C24:F24"/>
    <mergeCell ref="C25:F25"/>
    <mergeCell ref="C40:F40"/>
    <mergeCell ref="A28:F28"/>
    <mergeCell ref="A29:C29"/>
    <mergeCell ref="C30:F30"/>
    <mergeCell ref="C31:F31"/>
    <mergeCell ref="C32:F32"/>
    <mergeCell ref="C33:F33"/>
    <mergeCell ref="C34:F34"/>
    <mergeCell ref="C35:F35"/>
    <mergeCell ref="A37:F37"/>
    <mergeCell ref="A38:C38"/>
    <mergeCell ref="C39:F39"/>
    <mergeCell ref="C53:F53"/>
    <mergeCell ref="C41:F41"/>
    <mergeCell ref="C42:F42"/>
    <mergeCell ref="C43:F43"/>
    <mergeCell ref="C44:F44"/>
    <mergeCell ref="A46:F46"/>
    <mergeCell ref="A47:C47"/>
    <mergeCell ref="C48:F48"/>
    <mergeCell ref="C49:F49"/>
    <mergeCell ref="C50:F50"/>
    <mergeCell ref="C51:F51"/>
    <mergeCell ref="C52:F52"/>
    <mergeCell ref="C61:F61"/>
    <mergeCell ref="A55:F55"/>
    <mergeCell ref="A56:C56"/>
    <mergeCell ref="C57:F57"/>
    <mergeCell ref="C58:F58"/>
    <mergeCell ref="C59:F59"/>
    <mergeCell ref="C60:F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379D-FF79-4CB0-8C4F-22368F649AA2}">
  <dimension ref="A1:F12"/>
  <sheetViews>
    <sheetView workbookViewId="0">
      <selection activeCell="E23" sqref="E23"/>
    </sheetView>
  </sheetViews>
  <sheetFormatPr defaultRowHeight="15" x14ac:dyDescent="0.25"/>
  <sheetData>
    <row r="1" spans="1:6" ht="22.5" thickBot="1" x14ac:dyDescent="0.3">
      <c r="A1" s="64" t="s">
        <v>82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f>A3+A4+A5</f>
        <v>3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83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84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58" t="s">
        <v>35</v>
      </c>
      <c r="D5" s="58"/>
      <c r="E5" s="58"/>
      <c r="F5" s="63"/>
    </row>
    <row r="6" spans="1:6" ht="15.75" thickBot="1" x14ac:dyDescent="0.3"/>
    <row r="7" spans="1:6" ht="22.5" thickBot="1" x14ac:dyDescent="0.3">
      <c r="A7" s="64" t="s">
        <v>85</v>
      </c>
      <c r="B7" s="65"/>
      <c r="C7" s="65"/>
      <c r="D7" s="65"/>
      <c r="E7" s="65"/>
      <c r="F7" s="66"/>
    </row>
    <row r="8" spans="1:6" ht="22.5" thickBot="1" x14ac:dyDescent="0.3">
      <c r="A8" s="67" t="s">
        <v>0</v>
      </c>
      <c r="B8" s="68"/>
      <c r="C8" s="68"/>
      <c r="D8" s="1">
        <f>A9+A10+A11+A12</f>
        <v>5</v>
      </c>
      <c r="E8" s="17"/>
      <c r="F8" s="18"/>
    </row>
    <row r="9" spans="1:6" ht="21.75" x14ac:dyDescent="0.25">
      <c r="A9" s="6">
        <v>1</v>
      </c>
      <c r="B9" s="7" t="s">
        <v>1</v>
      </c>
      <c r="C9" s="69" t="s">
        <v>86</v>
      </c>
      <c r="D9" s="69"/>
      <c r="E9" s="69"/>
      <c r="F9" s="70"/>
    </row>
    <row r="10" spans="1:6" ht="21.75" x14ac:dyDescent="0.25">
      <c r="A10" s="8">
        <v>2</v>
      </c>
      <c r="B10" s="9" t="s">
        <v>1</v>
      </c>
      <c r="C10" s="58" t="s">
        <v>87</v>
      </c>
      <c r="D10" s="58"/>
      <c r="E10" s="58"/>
      <c r="F10" s="63"/>
    </row>
    <row r="11" spans="1:6" ht="21.75" x14ac:dyDescent="0.25">
      <c r="A11" s="8">
        <v>1</v>
      </c>
      <c r="B11" s="9" t="s">
        <v>1</v>
      </c>
      <c r="C11" s="58" t="s">
        <v>36</v>
      </c>
      <c r="D11" s="58"/>
      <c r="E11" s="58"/>
      <c r="F11" s="63"/>
    </row>
    <row r="12" spans="1:6" ht="21.75" x14ac:dyDescent="0.25">
      <c r="A12" s="8">
        <v>1</v>
      </c>
      <c r="B12" s="9" t="s">
        <v>1</v>
      </c>
      <c r="C12" s="58" t="s">
        <v>88</v>
      </c>
      <c r="D12" s="58"/>
      <c r="E12" s="58"/>
      <c r="F12" s="63"/>
    </row>
  </sheetData>
  <mergeCells count="11">
    <mergeCell ref="A7:F7"/>
    <mergeCell ref="A1:F1"/>
    <mergeCell ref="A2:C2"/>
    <mergeCell ref="C3:F3"/>
    <mergeCell ref="C4:F4"/>
    <mergeCell ref="C5:F5"/>
    <mergeCell ref="A8:C8"/>
    <mergeCell ref="C9:F9"/>
    <mergeCell ref="C10:F10"/>
    <mergeCell ref="C11:F11"/>
    <mergeCell ref="C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1E7-A748-4491-A42E-AD0ED8808D53}">
  <dimension ref="A1:F53"/>
  <sheetViews>
    <sheetView workbookViewId="0">
      <selection activeCell="D51" sqref="D51"/>
    </sheetView>
  </sheetViews>
  <sheetFormatPr defaultRowHeight="15" x14ac:dyDescent="0.25"/>
  <sheetData>
    <row r="1" spans="1:6" ht="22.5" thickBot="1" x14ac:dyDescent="0.3">
      <c r="A1" s="92" t="s">
        <v>97</v>
      </c>
      <c r="B1" s="93"/>
      <c r="C1" s="93"/>
      <c r="D1" s="93"/>
      <c r="E1" s="93"/>
      <c r="F1" s="94"/>
    </row>
    <row r="2" spans="1:6" ht="22.5" thickBot="1" x14ac:dyDescent="0.3">
      <c r="A2" s="67" t="s">
        <v>0</v>
      </c>
      <c r="B2" s="68"/>
      <c r="C2" s="68"/>
      <c r="D2" s="1" t="e">
        <f>A3+A4+A5+A6+A7+A8+A9+A10+A11+A12+A13+A14+A15</f>
        <v>#VALUE!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89</v>
      </c>
      <c r="D3" s="58"/>
      <c r="E3" s="58"/>
      <c r="F3" s="63"/>
    </row>
    <row r="4" spans="1:6" ht="21.75" x14ac:dyDescent="0.25">
      <c r="A4" s="8">
        <v>2</v>
      </c>
      <c r="B4" s="9" t="s">
        <v>1</v>
      </c>
      <c r="C4" s="58" t="s">
        <v>90</v>
      </c>
      <c r="D4" s="58"/>
      <c r="E4" s="58"/>
      <c r="F4" s="63"/>
    </row>
    <row r="5" spans="1:6" ht="21.75" x14ac:dyDescent="0.25">
      <c r="A5" s="8">
        <v>2</v>
      </c>
      <c r="B5" s="9" t="s">
        <v>1</v>
      </c>
      <c r="C5" s="58" t="s">
        <v>91</v>
      </c>
      <c r="D5" s="58"/>
      <c r="E5" s="58"/>
      <c r="F5" s="63"/>
    </row>
    <row r="6" spans="1:6" ht="21.75" x14ac:dyDescent="0.25">
      <c r="A6" s="8">
        <v>4</v>
      </c>
      <c r="B6" s="9" t="s">
        <v>1</v>
      </c>
      <c r="C6" s="58" t="s">
        <v>92</v>
      </c>
      <c r="D6" s="58"/>
      <c r="E6" s="58"/>
      <c r="F6" s="63"/>
    </row>
    <row r="7" spans="1:6" ht="21.75" x14ac:dyDescent="0.25">
      <c r="A7" s="8">
        <v>1</v>
      </c>
      <c r="B7" s="9" t="s">
        <v>1</v>
      </c>
      <c r="C7" s="58" t="s">
        <v>93</v>
      </c>
      <c r="D7" s="58"/>
      <c r="E7" s="58"/>
      <c r="F7" s="63"/>
    </row>
    <row r="8" spans="1:6" ht="21.75" x14ac:dyDescent="0.25">
      <c r="A8" s="8">
        <v>1</v>
      </c>
      <c r="B8" s="9" t="s">
        <v>1</v>
      </c>
      <c r="C8" s="85" t="s">
        <v>14</v>
      </c>
      <c r="D8" s="85"/>
      <c r="E8" s="85"/>
      <c r="F8" s="86"/>
    </row>
    <row r="9" spans="1:6" ht="21.75" x14ac:dyDescent="0.25">
      <c r="A9" s="8">
        <v>1</v>
      </c>
      <c r="B9" s="9" t="s">
        <v>1</v>
      </c>
      <c r="C9" s="58" t="s">
        <v>94</v>
      </c>
      <c r="D9" s="58"/>
      <c r="E9" s="58"/>
      <c r="F9" s="63"/>
    </row>
    <row r="10" spans="1:6" ht="21.75" x14ac:dyDescent="0.25">
      <c r="A10" s="8">
        <v>1</v>
      </c>
      <c r="B10" s="9" t="s">
        <v>1</v>
      </c>
      <c r="C10" s="58" t="s">
        <v>95</v>
      </c>
      <c r="D10" s="58"/>
      <c r="E10" s="58"/>
      <c r="F10" s="63"/>
    </row>
    <row r="11" spans="1:6" ht="21.75" x14ac:dyDescent="0.25">
      <c r="A11" s="8">
        <v>1</v>
      </c>
      <c r="B11" s="9" t="s">
        <v>1</v>
      </c>
      <c r="C11" s="58" t="s">
        <v>96</v>
      </c>
      <c r="D11" s="58"/>
      <c r="E11" s="58"/>
      <c r="F11" s="63"/>
    </row>
    <row r="12" spans="1:6" ht="21.75" x14ac:dyDescent="0.25">
      <c r="A12" s="8">
        <v>1</v>
      </c>
      <c r="B12" s="9" t="s">
        <v>1</v>
      </c>
      <c r="C12" s="58" t="s">
        <v>2</v>
      </c>
      <c r="D12" s="58"/>
      <c r="E12" s="58"/>
      <c r="F12" s="63"/>
    </row>
    <row r="13" spans="1:6" ht="15.75" thickBot="1" x14ac:dyDescent="0.3"/>
    <row r="14" spans="1:6" ht="22.5" thickBot="1" x14ac:dyDescent="0.3">
      <c r="A14" s="92" t="s">
        <v>98</v>
      </c>
      <c r="B14" s="93"/>
      <c r="C14" s="93"/>
      <c r="D14" s="93"/>
      <c r="E14" s="93"/>
      <c r="F14" s="94"/>
    </row>
    <row r="15" spans="1:6" ht="22.5" thickBot="1" x14ac:dyDescent="0.3">
      <c r="A15" s="67" t="s">
        <v>0</v>
      </c>
      <c r="B15" s="68"/>
      <c r="C15" s="68"/>
      <c r="D15" s="1" t="e">
        <f>A16+A17+A18+A19+A20+A21+A22+A23+A24+A25+A26+A27+A28</f>
        <v>#VALUE!</v>
      </c>
      <c r="E15" s="17"/>
      <c r="F15" s="18"/>
    </row>
    <row r="16" spans="1:6" ht="21.75" x14ac:dyDescent="0.25">
      <c r="A16" s="8">
        <v>1</v>
      </c>
      <c r="B16" s="9" t="s">
        <v>1</v>
      </c>
      <c r="C16" s="58" t="s">
        <v>99</v>
      </c>
      <c r="D16" s="58"/>
      <c r="E16" s="58"/>
      <c r="F16" s="63"/>
    </row>
    <row r="17" spans="1:6" ht="21.75" x14ac:dyDescent="0.25">
      <c r="A17" s="8">
        <v>3</v>
      </c>
      <c r="B17" s="9" t="s">
        <v>1</v>
      </c>
      <c r="C17" s="58" t="s">
        <v>100</v>
      </c>
      <c r="D17" s="58"/>
      <c r="E17" s="58"/>
      <c r="F17" s="63"/>
    </row>
    <row r="18" spans="1:6" ht="21.75" x14ac:dyDescent="0.25">
      <c r="A18" s="8">
        <v>3</v>
      </c>
      <c r="B18" s="9" t="s">
        <v>1</v>
      </c>
      <c r="C18" s="58" t="s">
        <v>101</v>
      </c>
      <c r="D18" s="58"/>
      <c r="E18" s="58"/>
      <c r="F18" s="63"/>
    </row>
    <row r="19" spans="1:6" ht="21.75" x14ac:dyDescent="0.25">
      <c r="A19" s="8">
        <v>6</v>
      </c>
      <c r="B19" s="9" t="s">
        <v>1</v>
      </c>
      <c r="C19" s="58" t="s">
        <v>102</v>
      </c>
      <c r="D19" s="58"/>
      <c r="E19" s="58"/>
      <c r="F19" s="63"/>
    </row>
    <row r="20" spans="1:6" ht="21.75" x14ac:dyDescent="0.25">
      <c r="A20" s="8">
        <v>1</v>
      </c>
      <c r="B20" s="9" t="s">
        <v>1</v>
      </c>
      <c r="C20" s="58" t="s">
        <v>103</v>
      </c>
      <c r="D20" s="58"/>
      <c r="E20" s="58"/>
      <c r="F20" s="63"/>
    </row>
    <row r="21" spans="1:6" ht="21.75" x14ac:dyDescent="0.25">
      <c r="A21" s="8">
        <v>1</v>
      </c>
      <c r="B21" s="9" t="s">
        <v>1</v>
      </c>
      <c r="C21" s="85" t="s">
        <v>14</v>
      </c>
      <c r="D21" s="85"/>
      <c r="E21" s="85"/>
      <c r="F21" s="86"/>
    </row>
    <row r="22" spans="1:6" ht="21.75" x14ac:dyDescent="0.25">
      <c r="A22" s="8">
        <v>1</v>
      </c>
      <c r="B22" s="9" t="s">
        <v>1</v>
      </c>
      <c r="C22" s="58" t="s">
        <v>94</v>
      </c>
      <c r="D22" s="58"/>
      <c r="E22" s="58"/>
      <c r="F22" s="63"/>
    </row>
    <row r="23" spans="1:6" ht="21.75" x14ac:dyDescent="0.25">
      <c r="A23" s="8">
        <v>3</v>
      </c>
      <c r="B23" s="9" t="s">
        <v>1</v>
      </c>
      <c r="C23" s="58" t="s">
        <v>104</v>
      </c>
      <c r="D23" s="58"/>
      <c r="E23" s="58"/>
      <c r="F23" s="63"/>
    </row>
    <row r="24" spans="1:6" ht="21.75" x14ac:dyDescent="0.25">
      <c r="A24" s="8">
        <v>1</v>
      </c>
      <c r="B24" s="9" t="s">
        <v>1</v>
      </c>
      <c r="C24" s="58" t="s">
        <v>95</v>
      </c>
      <c r="D24" s="58"/>
      <c r="E24" s="58"/>
      <c r="F24" s="63"/>
    </row>
    <row r="25" spans="1:6" ht="21.75" x14ac:dyDescent="0.25">
      <c r="A25" s="8">
        <v>1</v>
      </c>
      <c r="B25" s="9" t="s">
        <v>1</v>
      </c>
      <c r="C25" s="58" t="s">
        <v>2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96</v>
      </c>
      <c r="D26" s="58"/>
      <c r="E26" s="58"/>
      <c r="F26" s="63"/>
    </row>
    <row r="27" spans="1:6" ht="15.75" thickBot="1" x14ac:dyDescent="0.3"/>
    <row r="28" spans="1:6" s="28" customFormat="1" ht="45.75" customHeight="1" thickBot="1" x14ac:dyDescent="0.3">
      <c r="A28" s="89" t="s">
        <v>114</v>
      </c>
      <c r="B28" s="90"/>
      <c r="C28" s="90"/>
      <c r="D28" s="90"/>
      <c r="E28" s="90"/>
      <c r="F28" s="91"/>
    </row>
    <row r="29" spans="1:6" ht="22.5" thickBot="1" x14ac:dyDescent="0.3">
      <c r="A29" s="67" t="s">
        <v>0</v>
      </c>
      <c r="B29" s="68"/>
      <c r="C29" s="68"/>
      <c r="D29" s="1">
        <f>A30+A31+A32+A33+A34+A35+A36+A37+A38+A39+A40+A41+A42</f>
        <v>20</v>
      </c>
      <c r="E29" s="17"/>
      <c r="F29" s="18"/>
    </row>
    <row r="30" spans="1:6" ht="21.75" x14ac:dyDescent="0.25">
      <c r="A30" s="6">
        <v>1</v>
      </c>
      <c r="B30" s="7" t="s">
        <v>1</v>
      </c>
      <c r="C30" s="69" t="s">
        <v>105</v>
      </c>
      <c r="D30" s="69"/>
      <c r="E30" s="69"/>
      <c r="F30" s="70"/>
    </row>
    <row r="31" spans="1:6" ht="21.75" x14ac:dyDescent="0.25">
      <c r="A31" s="8">
        <v>4</v>
      </c>
      <c r="B31" s="9" t="s">
        <v>1</v>
      </c>
      <c r="C31" s="58" t="s">
        <v>106</v>
      </c>
      <c r="D31" s="58"/>
      <c r="E31" s="58"/>
      <c r="F31" s="63"/>
    </row>
    <row r="32" spans="1:6" ht="21.75" x14ac:dyDescent="0.25">
      <c r="A32" s="8">
        <v>2</v>
      </c>
      <c r="B32" s="9" t="s">
        <v>1</v>
      </c>
      <c r="C32" s="58" t="s">
        <v>107</v>
      </c>
      <c r="D32" s="58"/>
      <c r="E32" s="58"/>
      <c r="F32" s="63"/>
    </row>
    <row r="33" spans="1:6" ht="21.75" x14ac:dyDescent="0.25">
      <c r="A33" s="8">
        <v>4</v>
      </c>
      <c r="B33" s="9" t="s">
        <v>1</v>
      </c>
      <c r="C33" s="58" t="s">
        <v>108</v>
      </c>
      <c r="D33" s="58"/>
      <c r="E33" s="58"/>
      <c r="F33" s="63"/>
    </row>
    <row r="34" spans="1:6" ht="21.75" x14ac:dyDescent="0.25">
      <c r="A34" s="8">
        <v>1</v>
      </c>
      <c r="B34" s="9" t="s">
        <v>1</v>
      </c>
      <c r="C34" s="58" t="s">
        <v>109</v>
      </c>
      <c r="D34" s="58"/>
      <c r="E34" s="58"/>
      <c r="F34" s="63"/>
    </row>
    <row r="35" spans="1:6" ht="21.75" x14ac:dyDescent="0.25">
      <c r="A35" s="8">
        <v>1</v>
      </c>
      <c r="B35" s="9" t="s">
        <v>1</v>
      </c>
      <c r="C35" s="58" t="s">
        <v>94</v>
      </c>
      <c r="D35" s="58"/>
      <c r="E35" s="58"/>
      <c r="F35" s="63"/>
    </row>
    <row r="36" spans="1:6" ht="21.75" x14ac:dyDescent="0.25">
      <c r="A36" s="8">
        <v>1</v>
      </c>
      <c r="B36" s="9" t="s">
        <v>1</v>
      </c>
      <c r="C36" s="58" t="s">
        <v>110</v>
      </c>
      <c r="D36" s="58"/>
      <c r="E36" s="58"/>
      <c r="F36" s="63"/>
    </row>
    <row r="37" spans="1:6" ht="21.75" x14ac:dyDescent="0.25">
      <c r="A37" s="8">
        <v>1</v>
      </c>
      <c r="B37" s="9" t="s">
        <v>1</v>
      </c>
      <c r="C37" s="85" t="s">
        <v>14</v>
      </c>
      <c r="D37" s="85"/>
      <c r="E37" s="85"/>
      <c r="F37" s="86"/>
    </row>
    <row r="38" spans="1:6" ht="21.75" x14ac:dyDescent="0.25">
      <c r="A38" s="8">
        <v>1</v>
      </c>
      <c r="B38" s="9" t="s">
        <v>1</v>
      </c>
      <c r="C38" s="58" t="s">
        <v>111</v>
      </c>
      <c r="D38" s="58"/>
      <c r="E38" s="58"/>
      <c r="F38" s="63"/>
    </row>
    <row r="39" spans="1:6" ht="21.75" x14ac:dyDescent="0.25">
      <c r="A39" s="8">
        <v>1</v>
      </c>
      <c r="B39" s="9" t="s">
        <v>1</v>
      </c>
      <c r="C39" s="58" t="s">
        <v>112</v>
      </c>
      <c r="D39" s="58"/>
      <c r="E39" s="58"/>
      <c r="F39" s="63"/>
    </row>
    <row r="40" spans="1:6" ht="21.75" x14ac:dyDescent="0.25">
      <c r="A40" s="8">
        <v>1</v>
      </c>
      <c r="B40" s="9" t="s">
        <v>1</v>
      </c>
      <c r="C40" s="58" t="s">
        <v>113</v>
      </c>
      <c r="D40" s="58"/>
      <c r="E40" s="58"/>
      <c r="F40" s="63"/>
    </row>
    <row r="41" spans="1:6" ht="21.75" x14ac:dyDescent="0.25">
      <c r="A41" s="8">
        <v>1</v>
      </c>
      <c r="B41" s="9" t="s">
        <v>1</v>
      </c>
      <c r="C41" s="58" t="s">
        <v>95</v>
      </c>
      <c r="D41" s="58"/>
      <c r="E41" s="58"/>
      <c r="F41" s="63"/>
    </row>
    <row r="42" spans="1:6" ht="22.5" thickBot="1" x14ac:dyDescent="0.3">
      <c r="A42" s="12">
        <v>1</v>
      </c>
      <c r="B42" s="13" t="s">
        <v>1</v>
      </c>
      <c r="C42" s="80" t="s">
        <v>96</v>
      </c>
      <c r="D42" s="80"/>
      <c r="E42" s="80"/>
      <c r="F42" s="81"/>
    </row>
    <row r="43" spans="1:6" ht="15.75" thickBot="1" x14ac:dyDescent="0.3"/>
    <row r="44" spans="1:6" ht="22.5" thickBot="1" x14ac:dyDescent="0.3">
      <c r="A44" s="89" t="s">
        <v>118</v>
      </c>
      <c r="B44" s="90"/>
      <c r="C44" s="90"/>
      <c r="D44" s="90"/>
      <c r="E44" s="90"/>
      <c r="F44" s="91"/>
    </row>
    <row r="45" spans="1:6" ht="22.5" thickBot="1" x14ac:dyDescent="0.3">
      <c r="A45" s="67" t="s">
        <v>0</v>
      </c>
      <c r="B45" s="68"/>
      <c r="C45" s="68"/>
      <c r="D45" s="1">
        <f>A46+A47+A48+A49+A50+A51+A52+A53+A54+A55+A56+A57+A58</f>
        <v>11</v>
      </c>
      <c r="E45" s="17"/>
      <c r="F45" s="18"/>
    </row>
    <row r="46" spans="1:6" ht="21.75" x14ac:dyDescent="0.25">
      <c r="A46" s="8">
        <v>1</v>
      </c>
      <c r="B46" s="9" t="s">
        <v>1</v>
      </c>
      <c r="C46" s="58" t="s">
        <v>115</v>
      </c>
      <c r="D46" s="58"/>
      <c r="E46" s="58"/>
      <c r="F46" s="63"/>
    </row>
    <row r="47" spans="1:6" ht="21.75" x14ac:dyDescent="0.25">
      <c r="A47" s="8">
        <v>4</v>
      </c>
      <c r="B47" s="9" t="s">
        <v>1</v>
      </c>
      <c r="C47" s="58" t="s">
        <v>116</v>
      </c>
      <c r="D47" s="58"/>
      <c r="E47" s="58"/>
      <c r="F47" s="63"/>
    </row>
    <row r="48" spans="1:6" ht="21.75" x14ac:dyDescent="0.25">
      <c r="A48" s="8">
        <v>1</v>
      </c>
      <c r="B48" s="9" t="s">
        <v>1</v>
      </c>
      <c r="C48" s="85" t="s">
        <v>14</v>
      </c>
      <c r="D48" s="85"/>
      <c r="E48" s="85"/>
      <c r="F48" s="86"/>
    </row>
    <row r="49" spans="1:6" ht="21.75" x14ac:dyDescent="0.25">
      <c r="A49" s="8">
        <v>1</v>
      </c>
      <c r="B49" s="9" t="s">
        <v>1</v>
      </c>
      <c r="C49" s="58" t="s">
        <v>117</v>
      </c>
      <c r="D49" s="58"/>
      <c r="E49" s="58"/>
      <c r="F49" s="63"/>
    </row>
    <row r="50" spans="1:6" ht="21.75" x14ac:dyDescent="0.25">
      <c r="A50" s="8">
        <v>1</v>
      </c>
      <c r="B50" s="9" t="s">
        <v>1</v>
      </c>
      <c r="C50" s="58" t="s">
        <v>93</v>
      </c>
      <c r="D50" s="58"/>
      <c r="E50" s="58"/>
      <c r="F50" s="63"/>
    </row>
    <row r="51" spans="1:6" ht="21.75" x14ac:dyDescent="0.25">
      <c r="A51" s="8">
        <v>1</v>
      </c>
      <c r="B51" s="9" t="s">
        <v>1</v>
      </c>
      <c r="C51" s="10" t="s">
        <v>94</v>
      </c>
      <c r="D51" s="10"/>
      <c r="E51" s="10"/>
      <c r="F51" s="11"/>
    </row>
    <row r="52" spans="1:6" ht="21.75" x14ac:dyDescent="0.25">
      <c r="A52" s="8">
        <v>1</v>
      </c>
      <c r="B52" s="9" t="s">
        <v>1</v>
      </c>
      <c r="C52" s="58" t="s">
        <v>110</v>
      </c>
      <c r="D52" s="58"/>
      <c r="E52" s="58"/>
      <c r="F52" s="63"/>
    </row>
    <row r="53" spans="1:6" ht="21.75" x14ac:dyDescent="0.25">
      <c r="A53" s="8">
        <v>1</v>
      </c>
      <c r="B53" s="9" t="s">
        <v>1</v>
      </c>
      <c r="C53" s="58" t="s">
        <v>96</v>
      </c>
      <c r="D53" s="58"/>
      <c r="E53" s="58"/>
      <c r="F53" s="63"/>
    </row>
  </sheetData>
  <mergeCells count="49">
    <mergeCell ref="C6:F6"/>
    <mergeCell ref="A1:F1"/>
    <mergeCell ref="A2:C2"/>
    <mergeCell ref="C3:F3"/>
    <mergeCell ref="C4:F4"/>
    <mergeCell ref="C5:F5"/>
    <mergeCell ref="C19:F19"/>
    <mergeCell ref="C7:F7"/>
    <mergeCell ref="C8:F8"/>
    <mergeCell ref="C9:F9"/>
    <mergeCell ref="C10:F10"/>
    <mergeCell ref="C11:F11"/>
    <mergeCell ref="C12:F12"/>
    <mergeCell ref="A14:F14"/>
    <mergeCell ref="A15:C15"/>
    <mergeCell ref="C16:F16"/>
    <mergeCell ref="C17:F17"/>
    <mergeCell ref="C18:F18"/>
    <mergeCell ref="C32:F32"/>
    <mergeCell ref="C20:F20"/>
    <mergeCell ref="C21:F21"/>
    <mergeCell ref="C22:F22"/>
    <mergeCell ref="C23:F23"/>
    <mergeCell ref="C24:F24"/>
    <mergeCell ref="C25:F25"/>
    <mergeCell ref="C26:F26"/>
    <mergeCell ref="A28:F28"/>
    <mergeCell ref="A29:C29"/>
    <mergeCell ref="C30:F30"/>
    <mergeCell ref="C31:F31"/>
    <mergeCell ref="A45:C45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A44:F44"/>
    <mergeCell ref="C53:F53"/>
    <mergeCell ref="C46:F46"/>
    <mergeCell ref="C47:F47"/>
    <mergeCell ref="C48:F48"/>
    <mergeCell ref="C49:F49"/>
    <mergeCell ref="C50:F50"/>
    <mergeCell ref="C52:F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F40-DDF7-4E4D-A1F8-88BEEB06F5BA}">
  <dimension ref="A1:F50"/>
  <sheetViews>
    <sheetView topLeftCell="A13" workbookViewId="0">
      <selection activeCell="A42" sqref="A42:F50"/>
    </sheetView>
  </sheetViews>
  <sheetFormatPr defaultRowHeight="15" x14ac:dyDescent="0.25"/>
  <sheetData>
    <row r="1" spans="1:6" ht="22.5" thickBot="1" x14ac:dyDescent="0.3">
      <c r="A1" s="64" t="s">
        <v>119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f>A3+A4+A5+A6+A7+A8+A9+A10+A11</f>
        <v>13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120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121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58" t="s">
        <v>122</v>
      </c>
      <c r="D5" s="58"/>
      <c r="E5" s="58"/>
      <c r="F5" s="63"/>
    </row>
    <row r="6" spans="1:6" ht="21.75" x14ac:dyDescent="0.25">
      <c r="A6" s="8">
        <v>1</v>
      </c>
      <c r="B6" s="9" t="s">
        <v>1</v>
      </c>
      <c r="C6" s="58" t="s">
        <v>123</v>
      </c>
      <c r="D6" s="58"/>
      <c r="E6" s="58"/>
      <c r="F6" s="63"/>
    </row>
    <row r="7" spans="1:6" ht="21.75" x14ac:dyDescent="0.25">
      <c r="A7" s="8">
        <v>6</v>
      </c>
      <c r="B7" s="9" t="s">
        <v>1</v>
      </c>
      <c r="C7" s="58" t="s">
        <v>39</v>
      </c>
      <c r="D7" s="58"/>
      <c r="E7" s="58"/>
      <c r="F7" s="63"/>
    </row>
    <row r="8" spans="1:6" ht="21.75" x14ac:dyDescent="0.25">
      <c r="A8" s="8">
        <v>1</v>
      </c>
      <c r="B8" s="9" t="s">
        <v>1</v>
      </c>
      <c r="C8" s="58" t="s">
        <v>6</v>
      </c>
      <c r="D8" s="58"/>
      <c r="E8" s="58"/>
      <c r="F8" s="63"/>
    </row>
    <row r="9" spans="1:6" ht="21.75" x14ac:dyDescent="0.25">
      <c r="A9" s="8">
        <v>1</v>
      </c>
      <c r="B9" s="9" t="s">
        <v>1</v>
      </c>
      <c r="C9" s="10" t="s">
        <v>14</v>
      </c>
      <c r="D9" s="10"/>
      <c r="E9" s="10"/>
      <c r="F9" s="11"/>
    </row>
    <row r="10" spans="1:6" ht="21.75" x14ac:dyDescent="0.25">
      <c r="A10" s="8">
        <v>1</v>
      </c>
      <c r="B10" s="9" t="s">
        <v>1</v>
      </c>
      <c r="C10" s="10" t="s">
        <v>2</v>
      </c>
      <c r="D10" s="10"/>
      <c r="E10" s="10"/>
      <c r="F10" s="11"/>
    </row>
    <row r="11" spans="1:6" ht="15.75" thickBot="1" x14ac:dyDescent="0.3"/>
    <row r="12" spans="1:6" ht="22.5" thickBot="1" x14ac:dyDescent="0.3">
      <c r="A12" s="64" t="s">
        <v>124</v>
      </c>
      <c r="B12" s="65"/>
      <c r="C12" s="65"/>
      <c r="D12" s="65"/>
      <c r="E12" s="65"/>
      <c r="F12" s="66"/>
    </row>
    <row r="13" spans="1:6" ht="22.5" thickBot="1" x14ac:dyDescent="0.3">
      <c r="A13" s="67" t="s">
        <v>0</v>
      </c>
      <c r="B13" s="68"/>
      <c r="C13" s="68"/>
      <c r="D13" s="1" t="e">
        <f>A14+A15+A16+A17+A18+A19+A20+A21+A22</f>
        <v>#VALUE!</v>
      </c>
      <c r="E13" s="17"/>
      <c r="F13" s="18"/>
    </row>
    <row r="14" spans="1:6" ht="21.75" x14ac:dyDescent="0.25">
      <c r="A14" s="6">
        <v>1</v>
      </c>
      <c r="B14" s="7" t="s">
        <v>1</v>
      </c>
      <c r="C14" s="69" t="s">
        <v>120</v>
      </c>
      <c r="D14" s="69"/>
      <c r="E14" s="69"/>
      <c r="F14" s="70"/>
    </row>
    <row r="15" spans="1:6" ht="21.75" x14ac:dyDescent="0.25">
      <c r="A15" s="8">
        <v>2</v>
      </c>
      <c r="B15" s="9" t="s">
        <v>1</v>
      </c>
      <c r="C15" s="58" t="s">
        <v>121</v>
      </c>
      <c r="D15" s="58"/>
      <c r="E15" s="58"/>
      <c r="F15" s="63"/>
    </row>
    <row r="16" spans="1:6" ht="21.75" x14ac:dyDescent="0.25">
      <c r="A16" s="8">
        <v>1</v>
      </c>
      <c r="B16" s="9" t="s">
        <v>1</v>
      </c>
      <c r="C16" s="58" t="s">
        <v>122</v>
      </c>
      <c r="D16" s="58"/>
      <c r="E16" s="58"/>
      <c r="F16" s="63"/>
    </row>
    <row r="17" spans="1:6" ht="21.75" x14ac:dyDescent="0.25">
      <c r="A17" s="8">
        <v>1</v>
      </c>
      <c r="B17" s="9" t="s">
        <v>1</v>
      </c>
      <c r="C17" s="58" t="s">
        <v>123</v>
      </c>
      <c r="D17" s="58"/>
      <c r="E17" s="58"/>
      <c r="F17" s="63"/>
    </row>
    <row r="18" spans="1:6" ht="21.75" x14ac:dyDescent="0.25">
      <c r="A18" s="8">
        <v>1</v>
      </c>
      <c r="B18" s="9" t="s">
        <v>1</v>
      </c>
      <c r="C18" s="58" t="s">
        <v>14</v>
      </c>
      <c r="D18" s="58"/>
      <c r="E18" s="58"/>
      <c r="F18" s="63"/>
    </row>
    <row r="19" spans="1:6" ht="21.75" x14ac:dyDescent="0.25">
      <c r="A19" s="8">
        <v>1</v>
      </c>
      <c r="B19" s="9" t="s">
        <v>1</v>
      </c>
      <c r="C19" s="58" t="s">
        <v>94</v>
      </c>
      <c r="D19" s="58"/>
      <c r="E19" s="58"/>
      <c r="F19" s="63"/>
    </row>
    <row r="20" spans="1:6" ht="21.75" x14ac:dyDescent="0.25">
      <c r="A20" s="8">
        <v>1</v>
      </c>
      <c r="B20" s="9" t="s">
        <v>1</v>
      </c>
      <c r="C20" s="58" t="s">
        <v>2</v>
      </c>
      <c r="D20" s="58"/>
      <c r="E20" s="58"/>
      <c r="F20" s="63"/>
    </row>
    <row r="21" spans="1:6" ht="15.75" thickBot="1" x14ac:dyDescent="0.3"/>
    <row r="22" spans="1:6" ht="22.5" thickBot="1" x14ac:dyDescent="0.3">
      <c r="A22" s="64" t="s">
        <v>125</v>
      </c>
      <c r="B22" s="65"/>
      <c r="C22" s="65"/>
      <c r="D22" s="65"/>
      <c r="E22" s="65"/>
      <c r="F22" s="95"/>
    </row>
    <row r="23" spans="1:6" ht="22.5" thickBot="1" x14ac:dyDescent="0.3">
      <c r="A23" s="67" t="s">
        <v>0</v>
      </c>
      <c r="B23" s="68"/>
      <c r="C23" s="68"/>
      <c r="D23" s="1" t="e">
        <f>A24+A25+A26+A27+A28+A29+A30+A31+A32</f>
        <v>#VALUE!</v>
      </c>
      <c r="E23" s="17"/>
      <c r="F23" s="18"/>
    </row>
    <row r="24" spans="1:6" ht="21.75" x14ac:dyDescent="0.25">
      <c r="A24" s="6">
        <v>1</v>
      </c>
      <c r="B24" s="7" t="s">
        <v>1</v>
      </c>
      <c r="C24" s="69" t="s">
        <v>120</v>
      </c>
      <c r="D24" s="69"/>
      <c r="E24" s="69"/>
      <c r="F24" s="70"/>
    </row>
    <row r="25" spans="1:6" ht="21.75" x14ac:dyDescent="0.25">
      <c r="A25" s="8">
        <v>1</v>
      </c>
      <c r="B25" s="9" t="s">
        <v>1</v>
      </c>
      <c r="C25" s="58" t="s">
        <v>121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122</v>
      </c>
      <c r="D26" s="58"/>
      <c r="E26" s="58"/>
      <c r="F26" s="63"/>
    </row>
    <row r="27" spans="1:6" ht="21.75" x14ac:dyDescent="0.25">
      <c r="A27" s="8">
        <v>1</v>
      </c>
      <c r="B27" s="9" t="s">
        <v>1</v>
      </c>
      <c r="C27" s="58" t="s">
        <v>123</v>
      </c>
      <c r="D27" s="58"/>
      <c r="E27" s="58"/>
      <c r="F27" s="63"/>
    </row>
    <row r="28" spans="1:6" ht="21.75" x14ac:dyDescent="0.25">
      <c r="A28" s="8">
        <v>1</v>
      </c>
      <c r="B28" s="9" t="s">
        <v>1</v>
      </c>
      <c r="C28" s="58" t="s">
        <v>14</v>
      </c>
      <c r="D28" s="58"/>
      <c r="E28" s="58"/>
      <c r="F28" s="63"/>
    </row>
    <row r="29" spans="1:6" ht="21.75" x14ac:dyDescent="0.25">
      <c r="A29" s="8">
        <v>1</v>
      </c>
      <c r="B29" s="9" t="s">
        <v>1</v>
      </c>
      <c r="C29" s="58" t="s">
        <v>2</v>
      </c>
      <c r="D29" s="58"/>
      <c r="E29" s="58"/>
      <c r="F29" s="63"/>
    </row>
    <row r="30" spans="1:6" ht="15.75" thickBot="1" x14ac:dyDescent="0.3"/>
    <row r="31" spans="1:6" ht="22.5" thickBot="1" x14ac:dyDescent="0.3">
      <c r="A31" s="64" t="s">
        <v>126</v>
      </c>
      <c r="B31" s="65"/>
      <c r="C31" s="65"/>
      <c r="D31" s="65"/>
      <c r="E31" s="65"/>
      <c r="F31" s="66"/>
    </row>
    <row r="32" spans="1:6" ht="22.5" thickBot="1" x14ac:dyDescent="0.3">
      <c r="A32" s="67" t="s">
        <v>0</v>
      </c>
      <c r="B32" s="68"/>
      <c r="C32" s="68"/>
      <c r="D32" s="1">
        <f>A33+A34+A35+A36+A37+A38+A39+A40</f>
        <v>23</v>
      </c>
      <c r="E32" s="17"/>
      <c r="F32" s="18"/>
    </row>
    <row r="33" spans="1:6" ht="21.75" x14ac:dyDescent="0.25">
      <c r="A33" s="8">
        <v>1</v>
      </c>
      <c r="B33" s="9" t="s">
        <v>1</v>
      </c>
      <c r="C33" s="69" t="s">
        <v>120</v>
      </c>
      <c r="D33" s="69"/>
      <c r="E33" s="69"/>
      <c r="F33" s="70"/>
    </row>
    <row r="34" spans="1:6" ht="21.75" x14ac:dyDescent="0.25">
      <c r="A34" s="8">
        <v>2</v>
      </c>
      <c r="B34" s="9" t="s">
        <v>1</v>
      </c>
      <c r="C34" s="58" t="s">
        <v>121</v>
      </c>
      <c r="D34" s="58"/>
      <c r="E34" s="58"/>
      <c r="F34" s="63"/>
    </row>
    <row r="35" spans="1:6" ht="21.75" x14ac:dyDescent="0.25">
      <c r="A35" s="8">
        <v>6</v>
      </c>
      <c r="B35" s="9" t="s">
        <v>1</v>
      </c>
      <c r="C35" s="58" t="s">
        <v>127</v>
      </c>
      <c r="D35" s="58"/>
      <c r="E35" s="58"/>
      <c r="F35" s="63"/>
    </row>
    <row r="36" spans="1:6" ht="21.75" x14ac:dyDescent="0.25">
      <c r="A36" s="8">
        <v>6</v>
      </c>
      <c r="B36" s="9" t="s">
        <v>1</v>
      </c>
      <c r="C36" s="58" t="s">
        <v>62</v>
      </c>
      <c r="D36" s="58"/>
      <c r="E36" s="58"/>
      <c r="F36" s="63"/>
    </row>
    <row r="37" spans="1:6" ht="21.75" x14ac:dyDescent="0.25">
      <c r="A37" s="8">
        <v>1</v>
      </c>
      <c r="B37" s="9" t="s">
        <v>1</v>
      </c>
      <c r="C37" s="58" t="s">
        <v>35</v>
      </c>
      <c r="D37" s="58"/>
      <c r="E37" s="58"/>
      <c r="F37" s="63"/>
    </row>
    <row r="38" spans="1:6" ht="21.75" x14ac:dyDescent="0.25">
      <c r="A38" s="29">
        <v>1</v>
      </c>
      <c r="B38" s="30" t="s">
        <v>1</v>
      </c>
      <c r="C38" s="58" t="s">
        <v>128</v>
      </c>
      <c r="D38" s="58"/>
      <c r="E38" s="58"/>
      <c r="F38" s="63"/>
    </row>
    <row r="39" spans="1:6" ht="21.75" x14ac:dyDescent="0.25">
      <c r="A39" s="29">
        <v>4</v>
      </c>
      <c r="B39" s="30" t="s">
        <v>1</v>
      </c>
      <c r="C39" s="10" t="s">
        <v>94</v>
      </c>
      <c r="D39" s="26"/>
      <c r="E39" s="26"/>
      <c r="F39" s="27"/>
    </row>
    <row r="40" spans="1:6" ht="21.75" x14ac:dyDescent="0.25">
      <c r="A40" s="8">
        <v>2</v>
      </c>
      <c r="B40" s="9" t="s">
        <v>1</v>
      </c>
      <c r="C40" s="10" t="s">
        <v>2</v>
      </c>
      <c r="D40" s="26"/>
      <c r="E40" s="26"/>
      <c r="F40" s="27"/>
    </row>
    <row r="41" spans="1:6" ht="15.75" thickBot="1" x14ac:dyDescent="0.3"/>
    <row r="42" spans="1:6" ht="22.5" thickBot="1" x14ac:dyDescent="0.3">
      <c r="A42" s="64" t="s">
        <v>129</v>
      </c>
      <c r="B42" s="65"/>
      <c r="C42" s="65"/>
      <c r="D42" s="65"/>
      <c r="E42" s="65"/>
      <c r="F42" s="66"/>
    </row>
    <row r="43" spans="1:6" ht="22.5" thickBot="1" x14ac:dyDescent="0.3">
      <c r="A43" s="67" t="s">
        <v>0</v>
      </c>
      <c r="B43" s="68"/>
      <c r="C43" s="68"/>
      <c r="D43" s="1">
        <f>A44+A45+A46+A47+A48+A49+A50+A51+A52</f>
        <v>18</v>
      </c>
      <c r="E43" s="17"/>
      <c r="F43" s="18"/>
    </row>
    <row r="44" spans="1:6" ht="21.75" x14ac:dyDescent="0.25">
      <c r="A44" s="8">
        <v>1</v>
      </c>
      <c r="B44" s="9" t="s">
        <v>1</v>
      </c>
      <c r="C44" s="69" t="s">
        <v>120</v>
      </c>
      <c r="D44" s="69"/>
      <c r="E44" s="69"/>
      <c r="F44" s="70"/>
    </row>
    <row r="45" spans="1:6" ht="21.75" x14ac:dyDescent="0.25">
      <c r="A45" s="8">
        <v>2</v>
      </c>
      <c r="B45" s="9" t="s">
        <v>1</v>
      </c>
      <c r="C45" s="58" t="s">
        <v>121</v>
      </c>
      <c r="D45" s="58"/>
      <c r="E45" s="58"/>
      <c r="F45" s="63"/>
    </row>
    <row r="46" spans="1:6" ht="21.75" x14ac:dyDescent="0.25">
      <c r="A46" s="8">
        <v>8</v>
      </c>
      <c r="B46" s="9" t="s">
        <v>1</v>
      </c>
      <c r="C46" s="58" t="s">
        <v>130</v>
      </c>
      <c r="D46" s="58"/>
      <c r="E46" s="58"/>
      <c r="F46" s="63"/>
    </row>
    <row r="47" spans="1:6" ht="21.75" x14ac:dyDescent="0.25">
      <c r="A47" s="8">
        <v>2</v>
      </c>
      <c r="B47" s="9" t="s">
        <v>1</v>
      </c>
      <c r="C47" s="58" t="s">
        <v>35</v>
      </c>
      <c r="D47" s="58"/>
      <c r="E47" s="58"/>
      <c r="F47" s="63"/>
    </row>
    <row r="48" spans="1:6" ht="21.75" x14ac:dyDescent="0.25">
      <c r="A48" s="8">
        <v>3</v>
      </c>
      <c r="B48" s="9" t="s">
        <v>1</v>
      </c>
      <c r="C48" s="58" t="s">
        <v>94</v>
      </c>
      <c r="D48" s="58"/>
      <c r="E48" s="58"/>
      <c r="F48" s="63"/>
    </row>
    <row r="49" spans="1:6" ht="21.75" x14ac:dyDescent="0.25">
      <c r="A49" s="8">
        <v>1</v>
      </c>
      <c r="B49" s="9" t="s">
        <v>1</v>
      </c>
      <c r="C49" s="58" t="s">
        <v>131</v>
      </c>
      <c r="D49" s="58"/>
      <c r="E49" s="58"/>
      <c r="F49" s="63"/>
    </row>
    <row r="50" spans="1:6" ht="21.75" x14ac:dyDescent="0.25">
      <c r="A50" s="8">
        <v>1</v>
      </c>
      <c r="B50" s="9" t="s">
        <v>1</v>
      </c>
      <c r="C50" s="58" t="s">
        <v>2</v>
      </c>
      <c r="D50" s="87"/>
      <c r="E50" s="87"/>
      <c r="F50" s="88"/>
    </row>
  </sheetData>
  <mergeCells count="42">
    <mergeCell ref="C6:F6"/>
    <mergeCell ref="A1:F1"/>
    <mergeCell ref="A2:C2"/>
    <mergeCell ref="C3:F3"/>
    <mergeCell ref="C4:F4"/>
    <mergeCell ref="C5:F5"/>
    <mergeCell ref="A22:F22"/>
    <mergeCell ref="C7:F7"/>
    <mergeCell ref="C8:F8"/>
    <mergeCell ref="A12:F12"/>
    <mergeCell ref="A13:C13"/>
    <mergeCell ref="C14:F14"/>
    <mergeCell ref="C15:F15"/>
    <mergeCell ref="C16:F16"/>
    <mergeCell ref="C17:F17"/>
    <mergeCell ref="C18:F18"/>
    <mergeCell ref="C19:F19"/>
    <mergeCell ref="C20:F20"/>
    <mergeCell ref="C35:F35"/>
    <mergeCell ref="A23:C23"/>
    <mergeCell ref="C24:F24"/>
    <mergeCell ref="C25:F25"/>
    <mergeCell ref="C26:F26"/>
    <mergeCell ref="C27:F27"/>
    <mergeCell ref="C28:F28"/>
    <mergeCell ref="C29:F29"/>
    <mergeCell ref="A31:F31"/>
    <mergeCell ref="A32:C32"/>
    <mergeCell ref="C33:F33"/>
    <mergeCell ref="C34:F34"/>
    <mergeCell ref="C50:F50"/>
    <mergeCell ref="C36:F36"/>
    <mergeCell ref="C37:F37"/>
    <mergeCell ref="C38:F38"/>
    <mergeCell ref="A42:F42"/>
    <mergeCell ref="A43:C43"/>
    <mergeCell ref="C44:F44"/>
    <mergeCell ref="C45:F45"/>
    <mergeCell ref="C46:F46"/>
    <mergeCell ref="C47:F47"/>
    <mergeCell ref="C48:F48"/>
    <mergeCell ref="C49:F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6539-D88A-4B8F-85CF-6A7BEE48248C}">
  <dimension ref="A1:F24"/>
  <sheetViews>
    <sheetView workbookViewId="0">
      <selection activeCell="I27" sqref="I27"/>
    </sheetView>
  </sheetViews>
  <sheetFormatPr defaultRowHeight="15" x14ac:dyDescent="0.25"/>
  <sheetData>
    <row r="1" spans="1:6" ht="22.5" thickBot="1" x14ac:dyDescent="0.3">
      <c r="A1" s="64" t="s">
        <v>132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f>A3+A4+A5+A6+A7+A8+A9</f>
        <v>11</v>
      </c>
      <c r="E2" s="17"/>
      <c r="F2" s="31"/>
    </row>
    <row r="3" spans="1:6" ht="21.75" x14ac:dyDescent="0.25">
      <c r="A3" s="6">
        <v>1</v>
      </c>
      <c r="B3" s="7" t="s">
        <v>1</v>
      </c>
      <c r="C3" s="69" t="s">
        <v>133</v>
      </c>
      <c r="D3" s="69"/>
      <c r="E3" s="69"/>
      <c r="F3" s="70"/>
    </row>
    <row r="4" spans="1:6" ht="21.75" x14ac:dyDescent="0.25">
      <c r="A4" s="8">
        <v>2</v>
      </c>
      <c r="B4" s="9" t="s">
        <v>1</v>
      </c>
      <c r="C4" s="58" t="s">
        <v>37</v>
      </c>
      <c r="D4" s="58"/>
      <c r="E4" s="58"/>
      <c r="F4" s="63"/>
    </row>
    <row r="5" spans="1:6" ht="21.75" x14ac:dyDescent="0.25">
      <c r="A5" s="8">
        <v>4</v>
      </c>
      <c r="B5" s="9" t="s">
        <v>1</v>
      </c>
      <c r="C5" s="58" t="s">
        <v>38</v>
      </c>
      <c r="D5" s="58"/>
      <c r="E5" s="58"/>
      <c r="F5" s="63"/>
    </row>
    <row r="6" spans="1:6" ht="21.75" x14ac:dyDescent="0.25">
      <c r="A6" s="8">
        <v>1</v>
      </c>
      <c r="B6" s="9" t="s">
        <v>1</v>
      </c>
      <c r="C6" s="10" t="s">
        <v>6</v>
      </c>
      <c r="D6" s="10"/>
      <c r="E6" s="10"/>
      <c r="F6" s="11"/>
    </row>
    <row r="7" spans="1:6" ht="21.75" x14ac:dyDescent="0.25">
      <c r="A7" s="8">
        <v>2</v>
      </c>
      <c r="B7" s="9" t="s">
        <v>1</v>
      </c>
      <c r="C7" s="10" t="s">
        <v>14</v>
      </c>
      <c r="D7" s="10"/>
      <c r="E7" s="10"/>
      <c r="F7" s="11"/>
    </row>
    <row r="8" spans="1:6" ht="21.75" x14ac:dyDescent="0.25">
      <c r="A8" s="8">
        <v>1</v>
      </c>
      <c r="B8" s="9" t="s">
        <v>1</v>
      </c>
      <c r="C8" s="58" t="s">
        <v>3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134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 t="e">
        <f>A12+A13+A14+A15+A16+A17+A18</f>
        <v>#VALUE!</v>
      </c>
      <c r="E11" s="17"/>
      <c r="F11" s="31"/>
    </row>
    <row r="12" spans="1:6" ht="21.75" x14ac:dyDescent="0.25">
      <c r="A12" s="6">
        <v>1</v>
      </c>
      <c r="B12" s="7" t="s">
        <v>1</v>
      </c>
      <c r="C12" s="69" t="s">
        <v>133</v>
      </c>
      <c r="D12" s="69"/>
      <c r="E12" s="69"/>
      <c r="F12" s="70"/>
    </row>
    <row r="13" spans="1:6" ht="21.75" x14ac:dyDescent="0.25">
      <c r="A13" s="8">
        <v>3</v>
      </c>
      <c r="B13" s="9" t="s">
        <v>1</v>
      </c>
      <c r="C13" s="58" t="s">
        <v>37</v>
      </c>
      <c r="D13" s="58"/>
      <c r="E13" s="58"/>
      <c r="F13" s="63"/>
    </row>
    <row r="14" spans="1:6" ht="21.75" x14ac:dyDescent="0.25">
      <c r="A14" s="8">
        <v>11</v>
      </c>
      <c r="B14" s="9" t="s">
        <v>1</v>
      </c>
      <c r="C14" s="58" t="s">
        <v>38</v>
      </c>
      <c r="D14" s="58"/>
      <c r="E14" s="58"/>
      <c r="F14" s="63"/>
    </row>
    <row r="15" spans="1:6" ht="21.75" x14ac:dyDescent="0.25">
      <c r="A15" s="8">
        <v>1</v>
      </c>
      <c r="B15" s="9" t="s">
        <v>1</v>
      </c>
      <c r="C15" s="10" t="s">
        <v>14</v>
      </c>
      <c r="D15" s="10"/>
      <c r="E15" s="10"/>
      <c r="F15" s="11"/>
    </row>
    <row r="16" spans="1:6" ht="21.75" x14ac:dyDescent="0.25">
      <c r="A16" s="8">
        <v>1</v>
      </c>
      <c r="B16" s="9" t="s">
        <v>1</v>
      </c>
      <c r="C16" s="58" t="s">
        <v>2</v>
      </c>
      <c r="D16" s="58"/>
      <c r="E16" s="58"/>
      <c r="F16" s="63"/>
    </row>
    <row r="17" spans="1:6" ht="15.75" thickBot="1" x14ac:dyDescent="0.3"/>
    <row r="18" spans="1:6" ht="22.5" thickBot="1" x14ac:dyDescent="0.3">
      <c r="A18" s="82" t="s">
        <v>135</v>
      </c>
      <c r="B18" s="83"/>
      <c r="C18" s="83"/>
      <c r="D18" s="83"/>
      <c r="E18" s="83"/>
      <c r="F18" s="84"/>
    </row>
    <row r="19" spans="1:6" ht="22.5" thickBot="1" x14ac:dyDescent="0.3">
      <c r="A19" s="67" t="s">
        <v>0</v>
      </c>
      <c r="B19" s="68"/>
      <c r="C19" s="68"/>
      <c r="D19" s="1">
        <f>A20+A21+A22+A23+A24+A25+A26</f>
        <v>6</v>
      </c>
      <c r="E19" s="17"/>
      <c r="F19" s="31"/>
    </row>
    <row r="20" spans="1:6" ht="21.75" x14ac:dyDescent="0.25">
      <c r="A20" s="8">
        <v>1</v>
      </c>
      <c r="B20" s="9" t="s">
        <v>1</v>
      </c>
      <c r="C20" s="58" t="s">
        <v>136</v>
      </c>
      <c r="D20" s="58"/>
      <c r="E20" s="58"/>
      <c r="F20" s="63"/>
    </row>
    <row r="21" spans="1:6" ht="21.75" x14ac:dyDescent="0.25">
      <c r="A21" s="8">
        <v>1</v>
      </c>
      <c r="B21" s="9" t="s">
        <v>1</v>
      </c>
      <c r="C21" s="58" t="s">
        <v>137</v>
      </c>
      <c r="D21" s="58"/>
      <c r="E21" s="58"/>
      <c r="F21" s="63"/>
    </row>
    <row r="22" spans="1:6" ht="21.75" x14ac:dyDescent="0.25">
      <c r="A22" s="19">
        <v>2</v>
      </c>
      <c r="B22" s="9" t="s">
        <v>1</v>
      </c>
      <c r="C22" s="58" t="s">
        <v>138</v>
      </c>
      <c r="D22" s="58"/>
      <c r="E22" s="58"/>
      <c r="F22" s="63"/>
    </row>
    <row r="23" spans="1:6" ht="21.75" x14ac:dyDescent="0.25">
      <c r="A23" s="19">
        <v>1</v>
      </c>
      <c r="B23" s="9" t="s">
        <v>1</v>
      </c>
      <c r="C23" s="85" t="s">
        <v>14</v>
      </c>
      <c r="D23" s="85"/>
      <c r="E23" s="85"/>
      <c r="F23" s="86"/>
    </row>
    <row r="24" spans="1:6" ht="21.75" x14ac:dyDescent="0.25">
      <c r="A24" s="32">
        <v>1</v>
      </c>
      <c r="B24" s="30" t="s">
        <v>1</v>
      </c>
      <c r="C24" s="85" t="s">
        <v>2</v>
      </c>
      <c r="D24" s="85"/>
      <c r="E24" s="85"/>
      <c r="F24" s="86"/>
    </row>
  </sheetData>
  <mergeCells count="19">
    <mergeCell ref="C16:F16"/>
    <mergeCell ref="A1:F1"/>
    <mergeCell ref="A2:C2"/>
    <mergeCell ref="C3:F3"/>
    <mergeCell ref="C4:F4"/>
    <mergeCell ref="C5:F5"/>
    <mergeCell ref="C8:F8"/>
    <mergeCell ref="A10:F10"/>
    <mergeCell ref="A11:C11"/>
    <mergeCell ref="C12:F12"/>
    <mergeCell ref="C13:F13"/>
    <mergeCell ref="C14:F14"/>
    <mergeCell ref="C24:F24"/>
    <mergeCell ref="A18:F18"/>
    <mergeCell ref="A19:C19"/>
    <mergeCell ref="C20:F20"/>
    <mergeCell ref="C21:F21"/>
    <mergeCell ref="C22:F22"/>
    <mergeCell ref="C2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1CD4-6453-4DFE-850A-243A0D7DEA9F}">
  <dimension ref="A1:F41"/>
  <sheetViews>
    <sheetView topLeftCell="A15" workbookViewId="0">
      <selection activeCell="L21" sqref="L21"/>
    </sheetView>
  </sheetViews>
  <sheetFormatPr defaultRowHeight="15" x14ac:dyDescent="0.25"/>
  <sheetData>
    <row r="1" spans="1:6" ht="22.5" thickBot="1" x14ac:dyDescent="0.3">
      <c r="A1" s="82" t="s">
        <v>139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f>A3+A4+A5+A6+A7+A8+A9+A10+A11</f>
        <v>18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59</v>
      </c>
      <c r="D3" s="69"/>
      <c r="E3" s="69"/>
      <c r="F3" s="70"/>
    </row>
    <row r="4" spans="1:6" ht="21.75" x14ac:dyDescent="0.25">
      <c r="A4" s="8">
        <v>3</v>
      </c>
      <c r="B4" s="9" t="s">
        <v>1</v>
      </c>
      <c r="C4" s="58" t="s">
        <v>60</v>
      </c>
      <c r="D4" s="58"/>
      <c r="E4" s="58"/>
      <c r="F4" s="63"/>
    </row>
    <row r="5" spans="1:6" ht="21.75" x14ac:dyDescent="0.25">
      <c r="A5" s="8">
        <v>2</v>
      </c>
      <c r="B5" s="9" t="s">
        <v>1</v>
      </c>
      <c r="C5" s="58" t="s">
        <v>61</v>
      </c>
      <c r="D5" s="58"/>
      <c r="E5" s="58"/>
      <c r="F5" s="63"/>
    </row>
    <row r="6" spans="1:6" ht="21.75" x14ac:dyDescent="0.25">
      <c r="A6" s="8">
        <v>4</v>
      </c>
      <c r="B6" s="9" t="s">
        <v>1</v>
      </c>
      <c r="C6" s="58" t="s">
        <v>62</v>
      </c>
      <c r="D6" s="58"/>
      <c r="E6" s="58"/>
      <c r="F6" s="63"/>
    </row>
    <row r="7" spans="1:6" ht="21.75" x14ac:dyDescent="0.25">
      <c r="A7" s="8">
        <v>1</v>
      </c>
      <c r="B7" s="9" t="s">
        <v>1</v>
      </c>
      <c r="C7" s="85" t="s">
        <v>14</v>
      </c>
      <c r="D7" s="85"/>
      <c r="E7" s="85"/>
      <c r="F7" s="86"/>
    </row>
    <row r="8" spans="1:6" ht="21.75" x14ac:dyDescent="0.25">
      <c r="A8" s="8">
        <v>2</v>
      </c>
      <c r="B8" s="9" t="s">
        <v>1</v>
      </c>
      <c r="C8" s="58" t="s">
        <v>94</v>
      </c>
      <c r="D8" s="58"/>
      <c r="E8" s="58"/>
      <c r="F8" s="63"/>
    </row>
    <row r="9" spans="1:6" ht="21.75" x14ac:dyDescent="0.25">
      <c r="A9" s="8">
        <v>1</v>
      </c>
      <c r="B9" s="9" t="s">
        <v>1</v>
      </c>
      <c r="C9" s="58" t="s">
        <v>140</v>
      </c>
      <c r="D9" s="58"/>
      <c r="E9" s="58"/>
      <c r="F9" s="63"/>
    </row>
    <row r="10" spans="1:6" ht="21.75" x14ac:dyDescent="0.25">
      <c r="A10" s="8">
        <v>3</v>
      </c>
      <c r="B10" s="9" t="s">
        <v>1</v>
      </c>
      <c r="C10" s="58" t="s">
        <v>95</v>
      </c>
      <c r="D10" s="58"/>
      <c r="E10" s="58"/>
      <c r="F10" s="63"/>
    </row>
    <row r="11" spans="1:6" ht="22.5" thickBot="1" x14ac:dyDescent="0.3">
      <c r="A11" s="12">
        <v>1</v>
      </c>
      <c r="B11" s="13"/>
      <c r="C11" s="80" t="s">
        <v>3</v>
      </c>
      <c r="D11" s="80"/>
      <c r="E11" s="80"/>
      <c r="F11" s="81"/>
    </row>
    <row r="12" spans="1:6" ht="15.75" thickBot="1" x14ac:dyDescent="0.3"/>
    <row r="13" spans="1:6" ht="22.5" thickBot="1" x14ac:dyDescent="0.3">
      <c r="A13" s="82" t="s">
        <v>141</v>
      </c>
      <c r="B13" s="83"/>
      <c r="C13" s="83"/>
      <c r="D13" s="83"/>
      <c r="E13" s="83"/>
      <c r="F13" s="84"/>
    </row>
    <row r="14" spans="1:6" ht="22.5" thickBot="1" x14ac:dyDescent="0.3">
      <c r="A14" s="67" t="s">
        <v>0</v>
      </c>
      <c r="B14" s="68"/>
      <c r="C14" s="68"/>
      <c r="D14" s="1">
        <f>A15+A16+A17+A18+A19+A20+A21+A22+A23</f>
        <v>16</v>
      </c>
      <c r="E14" s="17"/>
      <c r="F14" s="18"/>
    </row>
    <row r="15" spans="1:6" ht="21.75" x14ac:dyDescent="0.25">
      <c r="A15" s="6">
        <v>1</v>
      </c>
      <c r="B15" s="7" t="s">
        <v>1</v>
      </c>
      <c r="C15" s="69" t="s">
        <v>59</v>
      </c>
      <c r="D15" s="69"/>
      <c r="E15" s="69"/>
      <c r="F15" s="70"/>
    </row>
    <row r="16" spans="1:6" ht="21.75" x14ac:dyDescent="0.25">
      <c r="A16" s="8">
        <v>2</v>
      </c>
      <c r="B16" s="9" t="s">
        <v>1</v>
      </c>
      <c r="C16" s="58" t="s">
        <v>60</v>
      </c>
      <c r="D16" s="58"/>
      <c r="E16" s="58"/>
      <c r="F16" s="63"/>
    </row>
    <row r="17" spans="1:6" ht="21.75" x14ac:dyDescent="0.25">
      <c r="A17" s="8">
        <v>2</v>
      </c>
      <c r="B17" s="9" t="s">
        <v>1</v>
      </c>
      <c r="C17" s="58" t="s">
        <v>61</v>
      </c>
      <c r="D17" s="58"/>
      <c r="E17" s="58"/>
      <c r="F17" s="63"/>
    </row>
    <row r="18" spans="1:6" ht="21.75" x14ac:dyDescent="0.25">
      <c r="A18" s="8">
        <v>4</v>
      </c>
      <c r="B18" s="9" t="s">
        <v>1</v>
      </c>
      <c r="C18" s="58" t="s">
        <v>62</v>
      </c>
      <c r="D18" s="58"/>
      <c r="E18" s="58"/>
      <c r="F18" s="63"/>
    </row>
    <row r="19" spans="1:6" ht="21.75" x14ac:dyDescent="0.25">
      <c r="A19" s="8">
        <v>1</v>
      </c>
      <c r="B19" s="9" t="s">
        <v>1</v>
      </c>
      <c r="C19" s="58" t="s">
        <v>142</v>
      </c>
      <c r="D19" s="58"/>
      <c r="E19" s="58"/>
      <c r="F19" s="63"/>
    </row>
    <row r="20" spans="1:6" ht="21.75" x14ac:dyDescent="0.25">
      <c r="A20" s="8">
        <v>2</v>
      </c>
      <c r="B20" s="9" t="s">
        <v>1</v>
      </c>
      <c r="C20" s="85" t="s">
        <v>14</v>
      </c>
      <c r="D20" s="85"/>
      <c r="E20" s="85"/>
      <c r="F20" s="86"/>
    </row>
    <row r="21" spans="1:6" ht="21.75" x14ac:dyDescent="0.25">
      <c r="A21" s="8">
        <v>2</v>
      </c>
      <c r="B21" s="9" t="s">
        <v>1</v>
      </c>
      <c r="C21" s="58" t="s">
        <v>94</v>
      </c>
      <c r="D21" s="58"/>
      <c r="E21" s="58"/>
      <c r="F21" s="63"/>
    </row>
    <row r="22" spans="1:6" ht="21.75" x14ac:dyDescent="0.25">
      <c r="A22" s="8">
        <v>1</v>
      </c>
      <c r="B22" s="9" t="s">
        <v>1</v>
      </c>
      <c r="C22" s="58" t="s">
        <v>143</v>
      </c>
      <c r="D22" s="58"/>
      <c r="E22" s="58"/>
      <c r="F22" s="63"/>
    </row>
    <row r="23" spans="1:6" ht="22.5" thickBot="1" x14ac:dyDescent="0.3">
      <c r="A23" s="12">
        <v>1</v>
      </c>
      <c r="B23" s="13" t="s">
        <v>1</v>
      </c>
      <c r="C23" s="80" t="s">
        <v>3</v>
      </c>
      <c r="D23" s="80"/>
      <c r="E23" s="80"/>
      <c r="F23" s="81"/>
    </row>
    <row r="24" spans="1:6" ht="15.75" thickBot="1" x14ac:dyDescent="0.3"/>
    <row r="25" spans="1:6" ht="22.5" thickBot="1" x14ac:dyDescent="0.3">
      <c r="A25" s="82" t="s">
        <v>144</v>
      </c>
      <c r="B25" s="83"/>
      <c r="C25" s="83"/>
      <c r="D25" s="83"/>
      <c r="E25" s="83"/>
      <c r="F25" s="84"/>
    </row>
    <row r="26" spans="1:6" ht="22.5" thickBot="1" x14ac:dyDescent="0.3">
      <c r="A26" s="67" t="s">
        <v>0</v>
      </c>
      <c r="B26" s="68"/>
      <c r="C26" s="68"/>
      <c r="D26" s="1">
        <f>A27+A28+A29+A30+A31+A32+A33+A34+A35</f>
        <v>24</v>
      </c>
      <c r="E26" s="17"/>
      <c r="F26" s="18"/>
    </row>
    <row r="27" spans="1:6" ht="21.75" x14ac:dyDescent="0.25">
      <c r="A27" s="6">
        <v>1</v>
      </c>
      <c r="B27" s="7" t="s">
        <v>1</v>
      </c>
      <c r="C27" s="69" t="s">
        <v>145</v>
      </c>
      <c r="D27" s="69"/>
      <c r="E27" s="69"/>
      <c r="F27" s="70"/>
    </row>
    <row r="28" spans="1:6" ht="21.75" x14ac:dyDescent="0.25">
      <c r="A28" s="8">
        <v>3</v>
      </c>
      <c r="B28" s="9" t="s">
        <v>1</v>
      </c>
      <c r="C28" s="58" t="s">
        <v>146</v>
      </c>
      <c r="D28" s="58"/>
      <c r="E28" s="58"/>
      <c r="F28" s="63"/>
    </row>
    <row r="29" spans="1:6" ht="21.75" x14ac:dyDescent="0.25">
      <c r="A29" s="8">
        <v>4</v>
      </c>
      <c r="B29" s="9" t="s">
        <v>1</v>
      </c>
      <c r="C29" s="58" t="s">
        <v>147</v>
      </c>
      <c r="D29" s="58"/>
      <c r="E29" s="58"/>
      <c r="F29" s="63"/>
    </row>
    <row r="30" spans="1:6" ht="21.75" x14ac:dyDescent="0.25">
      <c r="A30" s="8">
        <v>7</v>
      </c>
      <c r="B30" s="9" t="s">
        <v>1</v>
      </c>
      <c r="C30" s="58" t="s">
        <v>148</v>
      </c>
      <c r="D30" s="58"/>
      <c r="E30" s="58"/>
      <c r="F30" s="63"/>
    </row>
    <row r="31" spans="1:6" ht="21.75" x14ac:dyDescent="0.25">
      <c r="A31" s="8">
        <v>1</v>
      </c>
      <c r="B31" s="9" t="s">
        <v>1</v>
      </c>
      <c r="C31" s="58" t="s">
        <v>149</v>
      </c>
      <c r="D31" s="58"/>
      <c r="E31" s="58"/>
      <c r="F31" s="63"/>
    </row>
    <row r="32" spans="1:6" ht="21.75" x14ac:dyDescent="0.25">
      <c r="A32" s="8">
        <v>2</v>
      </c>
      <c r="B32" s="9" t="s">
        <v>1</v>
      </c>
      <c r="C32" s="85" t="s">
        <v>150</v>
      </c>
      <c r="D32" s="85"/>
      <c r="E32" s="85"/>
      <c r="F32" s="86"/>
    </row>
    <row r="33" spans="1:6" ht="21.75" x14ac:dyDescent="0.25">
      <c r="A33" s="8">
        <v>2</v>
      </c>
      <c r="B33" s="9" t="s">
        <v>1</v>
      </c>
      <c r="C33" s="58" t="s">
        <v>94</v>
      </c>
      <c r="D33" s="58"/>
      <c r="E33" s="58"/>
      <c r="F33" s="63"/>
    </row>
    <row r="34" spans="1:6" ht="21.75" x14ac:dyDescent="0.25">
      <c r="A34" s="8">
        <v>1</v>
      </c>
      <c r="B34" s="9" t="s">
        <v>1</v>
      </c>
      <c r="C34" s="58" t="s">
        <v>143</v>
      </c>
      <c r="D34" s="58"/>
      <c r="E34" s="58"/>
      <c r="F34" s="63"/>
    </row>
    <row r="35" spans="1:6" ht="22.5" thickBot="1" x14ac:dyDescent="0.3">
      <c r="A35" s="12">
        <v>3</v>
      </c>
      <c r="B35" s="13" t="s">
        <v>1</v>
      </c>
      <c r="C35" s="80" t="s">
        <v>95</v>
      </c>
      <c r="D35" s="80"/>
      <c r="E35" s="80"/>
      <c r="F35" s="81"/>
    </row>
    <row r="36" spans="1:6" ht="15.75" thickBot="1" x14ac:dyDescent="0.3"/>
    <row r="37" spans="1:6" ht="22.5" thickBot="1" x14ac:dyDescent="0.3">
      <c r="A37" s="82" t="s">
        <v>151</v>
      </c>
      <c r="B37" s="83"/>
      <c r="C37" s="83"/>
      <c r="D37" s="83"/>
      <c r="E37" s="83"/>
      <c r="F37" s="84"/>
    </row>
    <row r="38" spans="1:6" ht="22.5" thickBot="1" x14ac:dyDescent="0.3">
      <c r="A38" s="67" t="s">
        <v>0</v>
      </c>
      <c r="B38" s="68"/>
      <c r="C38" s="68"/>
      <c r="D38" s="1">
        <f>A39+A40+A41+A42+A43+A44+A45+A46+A47</f>
        <v>3</v>
      </c>
      <c r="E38" s="17"/>
      <c r="F38" s="18"/>
    </row>
    <row r="39" spans="1:6" ht="21.75" x14ac:dyDescent="0.25">
      <c r="A39" s="8">
        <v>1</v>
      </c>
      <c r="B39" s="9" t="s">
        <v>1</v>
      </c>
      <c r="C39" s="58" t="s">
        <v>152</v>
      </c>
      <c r="D39" s="58"/>
      <c r="E39" s="58"/>
      <c r="F39" s="63"/>
    </row>
    <row r="40" spans="1:6" ht="21.75" x14ac:dyDescent="0.25">
      <c r="A40" s="8">
        <v>1</v>
      </c>
      <c r="B40" s="9" t="s">
        <v>1</v>
      </c>
      <c r="C40" s="58" t="s">
        <v>62</v>
      </c>
      <c r="D40" s="58"/>
      <c r="E40" s="58"/>
      <c r="F40" s="63"/>
    </row>
    <row r="41" spans="1:6" ht="21.75" x14ac:dyDescent="0.25">
      <c r="A41" s="8">
        <v>1</v>
      </c>
      <c r="B41" s="9" t="s">
        <v>1</v>
      </c>
      <c r="C41" s="58" t="s">
        <v>153</v>
      </c>
      <c r="D41" s="58"/>
      <c r="E41" s="58"/>
      <c r="F41" s="63"/>
    </row>
  </sheetData>
  <mergeCells count="38">
    <mergeCell ref="C6:F6"/>
    <mergeCell ref="A1:F1"/>
    <mergeCell ref="A2:C2"/>
    <mergeCell ref="C3:F3"/>
    <mergeCell ref="C4:F4"/>
    <mergeCell ref="C5:F5"/>
    <mergeCell ref="C19:F19"/>
    <mergeCell ref="C7:F7"/>
    <mergeCell ref="C8:F8"/>
    <mergeCell ref="C9:F9"/>
    <mergeCell ref="C10:F10"/>
    <mergeCell ref="C11:F11"/>
    <mergeCell ref="A13:F13"/>
    <mergeCell ref="A14:C14"/>
    <mergeCell ref="C15:F15"/>
    <mergeCell ref="C16:F16"/>
    <mergeCell ref="C17:F17"/>
    <mergeCell ref="C18:F18"/>
    <mergeCell ref="C32:F32"/>
    <mergeCell ref="C20:F20"/>
    <mergeCell ref="C21:F21"/>
    <mergeCell ref="C22:F22"/>
    <mergeCell ref="C23:F23"/>
    <mergeCell ref="A25:F25"/>
    <mergeCell ref="A26:C26"/>
    <mergeCell ref="C27:F27"/>
    <mergeCell ref="C28:F28"/>
    <mergeCell ref="C29:F29"/>
    <mergeCell ref="C30:F30"/>
    <mergeCell ref="C31:F31"/>
    <mergeCell ref="C40:F40"/>
    <mergeCell ref="C41:F41"/>
    <mergeCell ref="C33:F33"/>
    <mergeCell ref="C34:F34"/>
    <mergeCell ref="C35:F35"/>
    <mergeCell ref="A37:F37"/>
    <mergeCell ref="A38:C38"/>
    <mergeCell ref="C39:F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981D-AF8E-4DD7-8058-86D13AF219A9}">
  <dimension ref="A1:F54"/>
  <sheetViews>
    <sheetView topLeftCell="A30" zoomScale="115" zoomScaleNormal="115" workbookViewId="0">
      <selection activeCell="A56" sqref="A56:F61"/>
    </sheetView>
  </sheetViews>
  <sheetFormatPr defaultRowHeight="15" x14ac:dyDescent="0.25"/>
  <sheetData>
    <row r="1" spans="1:6" ht="21.75" x14ac:dyDescent="0.25">
      <c r="A1" s="103" t="s">
        <v>154</v>
      </c>
      <c r="B1" s="104"/>
      <c r="C1" s="104"/>
      <c r="D1" s="104"/>
      <c r="E1" s="104"/>
      <c r="F1" s="105"/>
    </row>
    <row r="2" spans="1:6" ht="22.5" thickBot="1" x14ac:dyDescent="0.3">
      <c r="A2" s="106" t="s">
        <v>0</v>
      </c>
      <c r="B2" s="107"/>
      <c r="C2" s="107"/>
      <c r="D2" s="33">
        <f>A3+A4+A5+A6</f>
        <v>4</v>
      </c>
      <c r="E2" s="34"/>
      <c r="F2" s="35"/>
    </row>
    <row r="3" spans="1:6" ht="21.75" x14ac:dyDescent="0.25">
      <c r="A3" s="6">
        <v>1</v>
      </c>
      <c r="B3" s="7" t="s">
        <v>1</v>
      </c>
      <c r="C3" s="69" t="s">
        <v>155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156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58" t="s">
        <v>4</v>
      </c>
      <c r="D5" s="59"/>
      <c r="E5" s="59"/>
      <c r="F5" s="60"/>
    </row>
    <row r="6" spans="1:6" ht="22.5" thickBot="1" x14ac:dyDescent="0.3">
      <c r="A6" s="12">
        <v>1</v>
      </c>
      <c r="B6" s="13" t="s">
        <v>1</v>
      </c>
      <c r="C6" s="80" t="s">
        <v>3</v>
      </c>
      <c r="D6" s="108"/>
      <c r="E6" s="108"/>
      <c r="F6" s="109"/>
    </row>
    <row r="7" spans="1:6" ht="15.75" thickBot="1" x14ac:dyDescent="0.3"/>
    <row r="8" spans="1:6" ht="22.5" thickBot="1" x14ac:dyDescent="0.3">
      <c r="A8" s="100" t="s">
        <v>157</v>
      </c>
      <c r="B8" s="101"/>
      <c r="C8" s="101"/>
      <c r="D8" s="101"/>
      <c r="E8" s="101"/>
      <c r="F8" s="102"/>
    </row>
    <row r="9" spans="1:6" ht="22.5" thickBot="1" x14ac:dyDescent="0.3">
      <c r="A9" s="96" t="s">
        <v>0</v>
      </c>
      <c r="B9" s="97"/>
      <c r="C9" s="97"/>
      <c r="D9" s="36">
        <v>10</v>
      </c>
      <c r="E9" s="37"/>
      <c r="F9" s="38"/>
    </row>
    <row r="10" spans="1:6" ht="21.75" x14ac:dyDescent="0.25">
      <c r="A10" s="39">
        <v>1</v>
      </c>
      <c r="B10" s="40" t="s">
        <v>1</v>
      </c>
      <c r="C10" s="98" t="s">
        <v>133</v>
      </c>
      <c r="D10" s="98"/>
      <c r="E10" s="98"/>
      <c r="F10" s="99"/>
    </row>
    <row r="11" spans="1:6" ht="21.75" x14ac:dyDescent="0.25">
      <c r="A11" s="41">
        <v>2</v>
      </c>
      <c r="B11" s="42" t="s">
        <v>1</v>
      </c>
      <c r="C11" s="61" t="s">
        <v>37</v>
      </c>
      <c r="D11" s="61"/>
      <c r="E11" s="61"/>
      <c r="F11" s="62"/>
    </row>
    <row r="12" spans="1:6" ht="21.75" x14ac:dyDescent="0.25">
      <c r="A12" s="41">
        <v>5</v>
      </c>
      <c r="B12" s="42" t="s">
        <v>1</v>
      </c>
      <c r="C12" s="61" t="s">
        <v>38</v>
      </c>
      <c r="D12" s="61"/>
      <c r="E12" s="61"/>
      <c r="F12" s="62"/>
    </row>
    <row r="13" spans="1:6" ht="21.75" x14ac:dyDescent="0.25">
      <c r="A13" s="41">
        <v>1</v>
      </c>
      <c r="B13" s="42" t="s">
        <v>1</v>
      </c>
      <c r="C13" s="10" t="s">
        <v>14</v>
      </c>
      <c r="D13" s="10"/>
      <c r="E13" s="10"/>
      <c r="F13" s="11"/>
    </row>
    <row r="14" spans="1:6" ht="21.75" x14ac:dyDescent="0.25">
      <c r="A14" s="41">
        <v>1</v>
      </c>
      <c r="B14" s="42" t="s">
        <v>1</v>
      </c>
      <c r="C14" s="61" t="s">
        <v>3</v>
      </c>
      <c r="D14" s="61"/>
      <c r="E14" s="61"/>
      <c r="F14" s="62"/>
    </row>
    <row r="15" spans="1:6" ht="15.75" thickBot="1" x14ac:dyDescent="0.3"/>
    <row r="16" spans="1:6" ht="22.5" thickBot="1" x14ac:dyDescent="0.3">
      <c r="A16" s="100" t="s">
        <v>158</v>
      </c>
      <c r="B16" s="101"/>
      <c r="C16" s="101"/>
      <c r="D16" s="101"/>
      <c r="E16" s="101"/>
      <c r="F16" s="102"/>
    </row>
    <row r="17" spans="1:6" ht="22.5" thickBot="1" x14ac:dyDescent="0.3">
      <c r="A17" s="96" t="s">
        <v>0</v>
      </c>
      <c r="B17" s="97"/>
      <c r="C17" s="97"/>
      <c r="D17" s="36">
        <v>13</v>
      </c>
      <c r="E17" s="37"/>
      <c r="F17" s="38"/>
    </row>
    <row r="18" spans="1:6" ht="21.75" x14ac:dyDescent="0.25">
      <c r="A18" s="39">
        <v>1</v>
      </c>
      <c r="B18" s="40" t="s">
        <v>1</v>
      </c>
      <c r="C18" s="98" t="s">
        <v>120</v>
      </c>
      <c r="D18" s="98"/>
      <c r="E18" s="98"/>
      <c r="F18" s="99"/>
    </row>
    <row r="19" spans="1:6" ht="21.75" x14ac:dyDescent="0.25">
      <c r="A19" s="41">
        <v>2</v>
      </c>
      <c r="B19" s="42" t="s">
        <v>1</v>
      </c>
      <c r="C19" s="61" t="s">
        <v>121</v>
      </c>
      <c r="D19" s="61"/>
      <c r="E19" s="61"/>
      <c r="F19" s="62"/>
    </row>
    <row r="20" spans="1:6" ht="21.75" x14ac:dyDescent="0.25">
      <c r="A20" s="41">
        <v>6</v>
      </c>
      <c r="B20" s="42" t="s">
        <v>1</v>
      </c>
      <c r="C20" s="61" t="s">
        <v>39</v>
      </c>
      <c r="D20" s="61"/>
      <c r="E20" s="61"/>
      <c r="F20" s="62"/>
    </row>
    <row r="21" spans="1:6" ht="21.75" x14ac:dyDescent="0.25">
      <c r="A21" s="41">
        <v>1</v>
      </c>
      <c r="B21" s="42" t="s">
        <v>1</v>
      </c>
      <c r="C21" s="58" t="s">
        <v>6</v>
      </c>
      <c r="D21" s="58"/>
      <c r="E21" s="58"/>
      <c r="F21" s="63"/>
    </row>
    <row r="22" spans="1:6" ht="21.75" x14ac:dyDescent="0.25">
      <c r="A22" s="41">
        <v>1</v>
      </c>
      <c r="B22" s="42" t="s">
        <v>1</v>
      </c>
      <c r="C22" s="61" t="s">
        <v>159</v>
      </c>
      <c r="D22" s="61"/>
      <c r="E22" s="61"/>
      <c r="F22" s="62"/>
    </row>
    <row r="23" spans="1:6" ht="21.75" x14ac:dyDescent="0.25">
      <c r="A23" s="41">
        <v>1</v>
      </c>
      <c r="B23" s="42" t="s">
        <v>1</v>
      </c>
      <c r="C23" s="61" t="s">
        <v>160</v>
      </c>
      <c r="D23" s="61"/>
      <c r="E23" s="61"/>
      <c r="F23" s="62"/>
    </row>
    <row r="24" spans="1:6" ht="21.75" x14ac:dyDescent="0.25">
      <c r="A24" s="41">
        <v>1</v>
      </c>
      <c r="B24" s="42" t="s">
        <v>1</v>
      </c>
      <c r="C24" s="61" t="s">
        <v>2</v>
      </c>
      <c r="D24" s="61"/>
      <c r="E24" s="61"/>
      <c r="F24" s="62"/>
    </row>
    <row r="25" spans="1:6" ht="15.75" thickBot="1" x14ac:dyDescent="0.3"/>
    <row r="26" spans="1:6" ht="22.5" thickBot="1" x14ac:dyDescent="0.3">
      <c r="A26" s="100" t="s">
        <v>161</v>
      </c>
      <c r="B26" s="101"/>
      <c r="C26" s="101"/>
      <c r="D26" s="101"/>
      <c r="E26" s="101"/>
      <c r="F26" s="102"/>
    </row>
    <row r="27" spans="1:6" ht="22.5" thickBot="1" x14ac:dyDescent="0.3">
      <c r="A27" s="96" t="s">
        <v>0</v>
      </c>
      <c r="B27" s="97"/>
      <c r="C27" s="97"/>
      <c r="D27" s="36">
        <v>11</v>
      </c>
      <c r="E27" s="37"/>
      <c r="F27" s="38"/>
    </row>
    <row r="28" spans="1:6" ht="21.75" x14ac:dyDescent="0.25">
      <c r="A28" s="39">
        <v>1</v>
      </c>
      <c r="B28" s="40" t="s">
        <v>1</v>
      </c>
      <c r="C28" s="98" t="s">
        <v>59</v>
      </c>
      <c r="D28" s="98"/>
      <c r="E28" s="98"/>
      <c r="F28" s="99"/>
    </row>
    <row r="29" spans="1:6" ht="21.75" x14ac:dyDescent="0.25">
      <c r="A29" s="41">
        <v>2</v>
      </c>
      <c r="B29" s="42" t="s">
        <v>1</v>
      </c>
      <c r="C29" s="61" t="s">
        <v>60</v>
      </c>
      <c r="D29" s="61"/>
      <c r="E29" s="61"/>
      <c r="F29" s="62"/>
    </row>
    <row r="30" spans="1:6" ht="21.75" x14ac:dyDescent="0.25">
      <c r="A30" s="41">
        <v>1</v>
      </c>
      <c r="B30" s="42" t="s">
        <v>1</v>
      </c>
      <c r="C30" s="61" t="s">
        <v>61</v>
      </c>
      <c r="D30" s="61"/>
      <c r="E30" s="61"/>
      <c r="F30" s="62"/>
    </row>
    <row r="31" spans="1:6" ht="21.75" x14ac:dyDescent="0.25">
      <c r="A31" s="41">
        <v>3</v>
      </c>
      <c r="B31" s="42" t="s">
        <v>1</v>
      </c>
      <c r="C31" s="61" t="s">
        <v>62</v>
      </c>
      <c r="D31" s="61"/>
      <c r="E31" s="61"/>
      <c r="F31" s="62"/>
    </row>
    <row r="32" spans="1:6" ht="21.75" x14ac:dyDescent="0.25">
      <c r="A32" s="41">
        <v>1</v>
      </c>
      <c r="B32" s="42" t="s">
        <v>1</v>
      </c>
      <c r="C32" s="61" t="s">
        <v>162</v>
      </c>
      <c r="D32" s="61"/>
      <c r="E32" s="61"/>
      <c r="F32" s="62"/>
    </row>
    <row r="33" spans="1:6" ht="21.75" x14ac:dyDescent="0.25">
      <c r="A33" s="41">
        <v>1</v>
      </c>
      <c r="B33" s="42" t="s">
        <v>1</v>
      </c>
      <c r="C33" s="10" t="s">
        <v>14</v>
      </c>
      <c r="D33" s="10"/>
      <c r="E33" s="10"/>
      <c r="F33" s="11"/>
    </row>
    <row r="34" spans="1:6" ht="21.75" x14ac:dyDescent="0.25">
      <c r="A34" s="41">
        <v>1</v>
      </c>
      <c r="B34" s="42" t="s">
        <v>1</v>
      </c>
      <c r="C34" s="23" t="s">
        <v>163</v>
      </c>
      <c r="D34" s="23"/>
      <c r="E34" s="23"/>
      <c r="F34" s="43"/>
    </row>
    <row r="35" spans="1:6" ht="21.75" x14ac:dyDescent="0.25">
      <c r="A35" s="41">
        <v>1</v>
      </c>
      <c r="B35" s="42" t="s">
        <v>1</v>
      </c>
      <c r="C35" s="23" t="s">
        <v>2</v>
      </c>
      <c r="D35" s="23"/>
      <c r="E35" s="23"/>
      <c r="F35" s="43"/>
    </row>
    <row r="36" spans="1:6" ht="15.75" thickBot="1" x14ac:dyDescent="0.3"/>
    <row r="37" spans="1:6" ht="22.5" thickBot="1" x14ac:dyDescent="0.3">
      <c r="A37" s="100" t="s">
        <v>164</v>
      </c>
      <c r="B37" s="101"/>
      <c r="C37" s="101"/>
      <c r="D37" s="101"/>
      <c r="E37" s="101"/>
      <c r="F37" s="102"/>
    </row>
    <row r="38" spans="1:6" ht="22.5" thickBot="1" x14ac:dyDescent="0.3">
      <c r="A38" s="96" t="s">
        <v>0</v>
      </c>
      <c r="B38" s="97"/>
      <c r="C38" s="97"/>
      <c r="D38" s="36">
        <v>8</v>
      </c>
      <c r="E38" s="37"/>
      <c r="F38" s="38"/>
    </row>
    <row r="39" spans="1:6" ht="21.75" x14ac:dyDescent="0.25">
      <c r="A39" s="39">
        <v>1</v>
      </c>
      <c r="B39" s="40" t="s">
        <v>1</v>
      </c>
      <c r="C39" s="98" t="s">
        <v>165</v>
      </c>
      <c r="D39" s="98"/>
      <c r="E39" s="98"/>
      <c r="F39" s="99"/>
    </row>
    <row r="40" spans="1:6" ht="21.75" x14ac:dyDescent="0.25">
      <c r="A40" s="41">
        <v>1</v>
      </c>
      <c r="B40" s="42" t="s">
        <v>1</v>
      </c>
      <c r="C40" s="61" t="s">
        <v>166</v>
      </c>
      <c r="D40" s="61"/>
      <c r="E40" s="61"/>
      <c r="F40" s="62"/>
    </row>
    <row r="41" spans="1:6" ht="21.75" x14ac:dyDescent="0.25">
      <c r="A41" s="41">
        <v>1</v>
      </c>
      <c r="B41" s="42" t="s">
        <v>1</v>
      </c>
      <c r="C41" s="61" t="s">
        <v>101</v>
      </c>
      <c r="D41" s="61"/>
      <c r="E41" s="61"/>
      <c r="F41" s="62"/>
    </row>
    <row r="42" spans="1:6" ht="21.75" x14ac:dyDescent="0.25">
      <c r="A42" s="41">
        <v>1</v>
      </c>
      <c r="B42" s="42" t="s">
        <v>1</v>
      </c>
      <c r="C42" s="61" t="s">
        <v>102</v>
      </c>
      <c r="D42" s="61"/>
      <c r="E42" s="61"/>
      <c r="F42" s="62"/>
    </row>
    <row r="43" spans="1:6" ht="21.75" x14ac:dyDescent="0.25">
      <c r="A43" s="41">
        <v>1</v>
      </c>
      <c r="B43" s="42" t="s">
        <v>1</v>
      </c>
      <c r="C43" s="61" t="s">
        <v>108</v>
      </c>
      <c r="D43" s="61"/>
      <c r="E43" s="61"/>
      <c r="F43" s="62"/>
    </row>
    <row r="44" spans="1:6" ht="21.75" x14ac:dyDescent="0.25">
      <c r="A44" s="41">
        <v>1</v>
      </c>
      <c r="B44" s="42" t="s">
        <v>1</v>
      </c>
      <c r="C44" s="58" t="s">
        <v>167</v>
      </c>
      <c r="D44" s="58"/>
      <c r="E44" s="58"/>
      <c r="F44" s="63"/>
    </row>
    <row r="45" spans="1:6" ht="21.75" x14ac:dyDescent="0.25">
      <c r="A45" s="41">
        <v>1</v>
      </c>
      <c r="B45" s="42" t="s">
        <v>1</v>
      </c>
      <c r="C45" s="61" t="s">
        <v>104</v>
      </c>
      <c r="D45" s="61"/>
      <c r="E45" s="61"/>
      <c r="F45" s="62"/>
    </row>
    <row r="46" spans="1:6" ht="21.75" x14ac:dyDescent="0.25">
      <c r="A46" s="8">
        <v>1</v>
      </c>
      <c r="B46" s="42" t="s">
        <v>1</v>
      </c>
      <c r="C46" s="61" t="s">
        <v>95</v>
      </c>
      <c r="D46" s="61"/>
      <c r="E46" s="61"/>
      <c r="F46" s="62"/>
    </row>
    <row r="47" spans="1:6" ht="15.75" thickBot="1" x14ac:dyDescent="0.3"/>
    <row r="48" spans="1:6" ht="22.5" thickBot="1" x14ac:dyDescent="0.3">
      <c r="A48" s="82" t="s">
        <v>168</v>
      </c>
      <c r="B48" s="83"/>
      <c r="C48" s="83"/>
      <c r="D48" s="83"/>
      <c r="E48" s="83"/>
      <c r="F48" s="84"/>
    </row>
    <row r="49" spans="1:6" ht="22.5" thickBot="1" x14ac:dyDescent="0.3">
      <c r="A49" s="96" t="s">
        <v>0</v>
      </c>
      <c r="B49" s="97"/>
      <c r="C49" s="97"/>
      <c r="D49" s="36">
        <f>A50+A51+A52+A53+A54+A55+A56+A57+A58+A59</f>
        <v>7</v>
      </c>
      <c r="E49" s="37"/>
      <c r="F49" s="38"/>
    </row>
    <row r="50" spans="1:6" ht="21.75" x14ac:dyDescent="0.25">
      <c r="A50" s="41">
        <v>1</v>
      </c>
      <c r="B50" s="42" t="s">
        <v>1</v>
      </c>
      <c r="C50" s="61" t="s">
        <v>169</v>
      </c>
      <c r="D50" s="61"/>
      <c r="E50" s="61"/>
      <c r="F50" s="62"/>
    </row>
    <row r="51" spans="1:6" ht="21.75" x14ac:dyDescent="0.25">
      <c r="A51" s="41">
        <v>1</v>
      </c>
      <c r="B51" s="42" t="s">
        <v>1</v>
      </c>
      <c r="C51" s="61" t="s">
        <v>170</v>
      </c>
      <c r="D51" s="61"/>
      <c r="E51" s="61"/>
      <c r="F51" s="62"/>
    </row>
    <row r="52" spans="1:6" ht="21.75" x14ac:dyDescent="0.25">
      <c r="A52" s="8">
        <v>1</v>
      </c>
      <c r="B52" s="9" t="s">
        <v>1</v>
      </c>
      <c r="C52" s="23" t="s">
        <v>171</v>
      </c>
      <c r="D52" s="23"/>
      <c r="E52" s="23"/>
      <c r="F52" s="43"/>
    </row>
    <row r="53" spans="1:6" ht="21.75" x14ac:dyDescent="0.25">
      <c r="A53" s="41">
        <v>1</v>
      </c>
      <c r="B53" s="42" t="s">
        <v>1</v>
      </c>
      <c r="C53" s="23" t="s">
        <v>2</v>
      </c>
      <c r="D53" s="23"/>
      <c r="E53" s="23"/>
      <c r="F53" s="43"/>
    </row>
    <row r="54" spans="1:6" ht="21.75" x14ac:dyDescent="0.25">
      <c r="A54" s="8">
        <v>3</v>
      </c>
      <c r="B54" s="9" t="s">
        <v>1</v>
      </c>
      <c r="C54" s="10" t="s">
        <v>172</v>
      </c>
      <c r="D54" s="10"/>
      <c r="E54" s="10"/>
      <c r="F54" s="11"/>
    </row>
  </sheetData>
  <mergeCells count="42">
    <mergeCell ref="C6:F6"/>
    <mergeCell ref="A1:F1"/>
    <mergeCell ref="A2:C2"/>
    <mergeCell ref="C3:F3"/>
    <mergeCell ref="C4:F4"/>
    <mergeCell ref="C5:F5"/>
    <mergeCell ref="C21:F21"/>
    <mergeCell ref="A8:F8"/>
    <mergeCell ref="A9:C9"/>
    <mergeCell ref="C10:F10"/>
    <mergeCell ref="C11:F11"/>
    <mergeCell ref="C12:F12"/>
    <mergeCell ref="C14:F14"/>
    <mergeCell ref="A16:F16"/>
    <mergeCell ref="A17:C17"/>
    <mergeCell ref="C18:F18"/>
    <mergeCell ref="C19:F19"/>
    <mergeCell ref="C20:F20"/>
    <mergeCell ref="A38:C38"/>
    <mergeCell ref="C22:F22"/>
    <mergeCell ref="C23:F23"/>
    <mergeCell ref="C24:F24"/>
    <mergeCell ref="A26:F26"/>
    <mergeCell ref="A27:C27"/>
    <mergeCell ref="C28:F28"/>
    <mergeCell ref="C29:F29"/>
    <mergeCell ref="C30:F30"/>
    <mergeCell ref="C31:F31"/>
    <mergeCell ref="C32:F32"/>
    <mergeCell ref="A37:F37"/>
    <mergeCell ref="C51:F51"/>
    <mergeCell ref="C39:F39"/>
    <mergeCell ref="C40:F40"/>
    <mergeCell ref="C41:F41"/>
    <mergeCell ref="C42:F42"/>
    <mergeCell ref="C43:F43"/>
    <mergeCell ref="C44:F44"/>
    <mergeCell ref="C45:F45"/>
    <mergeCell ref="C46:F46"/>
    <mergeCell ref="A48:F48"/>
    <mergeCell ref="A49:C49"/>
    <mergeCell ref="C50:F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473F-BB5C-4675-903F-B72B7FF21ACF}">
  <dimension ref="A1:F60"/>
  <sheetViews>
    <sheetView topLeftCell="A24" workbookViewId="0">
      <selection activeCell="I47" sqref="I47"/>
    </sheetView>
  </sheetViews>
  <sheetFormatPr defaultRowHeight="15" x14ac:dyDescent="0.25"/>
  <sheetData>
    <row r="1" spans="1:6" ht="22.5" thickBot="1" x14ac:dyDescent="0.3">
      <c r="A1" s="64" t="s">
        <v>173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f>A3+A4+A5+A6</f>
        <v>4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155</v>
      </c>
      <c r="D3" s="58"/>
      <c r="E3" s="58"/>
      <c r="F3" s="63"/>
    </row>
    <row r="4" spans="1:6" ht="21.75" x14ac:dyDescent="0.25">
      <c r="A4" s="8">
        <v>1</v>
      </c>
      <c r="B4" s="9" t="s">
        <v>1</v>
      </c>
      <c r="C4" s="58" t="s">
        <v>174</v>
      </c>
      <c r="D4" s="59"/>
      <c r="E4" s="59"/>
      <c r="F4" s="60"/>
    </row>
    <row r="5" spans="1:6" ht="21.75" x14ac:dyDescent="0.25">
      <c r="A5" s="8">
        <v>1</v>
      </c>
      <c r="B5" s="9" t="s">
        <v>1</v>
      </c>
      <c r="C5" s="58" t="s">
        <v>4</v>
      </c>
      <c r="D5" s="59"/>
      <c r="E5" s="59"/>
      <c r="F5" s="60"/>
    </row>
    <row r="6" spans="1:6" ht="22.5" thickBot="1" x14ac:dyDescent="0.3">
      <c r="A6" s="12">
        <v>1</v>
      </c>
      <c r="B6" s="13" t="s">
        <v>1</v>
      </c>
      <c r="C6" s="80" t="s">
        <v>2</v>
      </c>
      <c r="D6" s="80"/>
      <c r="E6" s="80"/>
      <c r="F6" s="81"/>
    </row>
    <row r="7" spans="1:6" ht="15.75" thickBot="1" x14ac:dyDescent="0.3"/>
    <row r="8" spans="1:6" ht="22.5" thickBot="1" x14ac:dyDescent="0.3">
      <c r="A8" s="64" t="s">
        <v>175</v>
      </c>
      <c r="B8" s="65"/>
      <c r="C8" s="65"/>
      <c r="D8" s="65"/>
      <c r="E8" s="65"/>
      <c r="F8" s="66"/>
    </row>
    <row r="9" spans="1:6" ht="22.5" thickBot="1" x14ac:dyDescent="0.3">
      <c r="A9" s="67" t="s">
        <v>0</v>
      </c>
      <c r="B9" s="68"/>
      <c r="C9" s="68"/>
      <c r="D9" s="1" t="e">
        <f>A10+A11+A12+A13+A14+A15+A16+A17+A18+A19</f>
        <v>#VALUE!</v>
      </c>
      <c r="E9" s="17"/>
      <c r="F9" s="18"/>
    </row>
    <row r="10" spans="1:6" ht="21.75" x14ac:dyDescent="0.25">
      <c r="A10" s="6">
        <v>1</v>
      </c>
      <c r="B10" s="7" t="s">
        <v>1</v>
      </c>
      <c r="C10" s="69" t="s">
        <v>133</v>
      </c>
      <c r="D10" s="69"/>
      <c r="E10" s="69"/>
      <c r="F10" s="70"/>
    </row>
    <row r="11" spans="1:6" ht="21.75" x14ac:dyDescent="0.25">
      <c r="A11" s="8">
        <v>2</v>
      </c>
      <c r="B11" s="9" t="s">
        <v>1</v>
      </c>
      <c r="C11" s="58" t="s">
        <v>37</v>
      </c>
      <c r="D11" s="58"/>
      <c r="E11" s="58"/>
      <c r="F11" s="63"/>
    </row>
    <row r="12" spans="1:6" ht="21.75" x14ac:dyDescent="0.25">
      <c r="A12" s="8">
        <v>6</v>
      </c>
      <c r="B12" s="9" t="s">
        <v>1</v>
      </c>
      <c r="C12" s="58" t="s">
        <v>38</v>
      </c>
      <c r="D12" s="58"/>
      <c r="E12" s="58"/>
      <c r="F12" s="63"/>
    </row>
    <row r="13" spans="1:6" ht="21.75" x14ac:dyDescent="0.25">
      <c r="A13" s="8">
        <v>1</v>
      </c>
      <c r="B13" s="9" t="s">
        <v>1</v>
      </c>
      <c r="C13" s="58" t="s">
        <v>6</v>
      </c>
      <c r="D13" s="58"/>
      <c r="E13" s="58"/>
      <c r="F13" s="63"/>
    </row>
    <row r="14" spans="1:6" ht="21.75" x14ac:dyDescent="0.25">
      <c r="A14" s="8">
        <v>1</v>
      </c>
      <c r="B14" s="9" t="s">
        <v>1</v>
      </c>
      <c r="C14" s="58" t="s">
        <v>14</v>
      </c>
      <c r="D14" s="58"/>
      <c r="E14" s="58"/>
      <c r="F14" s="63"/>
    </row>
    <row r="15" spans="1:6" ht="21.75" x14ac:dyDescent="0.25">
      <c r="A15" s="8">
        <v>1</v>
      </c>
      <c r="B15" s="9" t="s">
        <v>1</v>
      </c>
      <c r="C15" s="58" t="s">
        <v>3</v>
      </c>
      <c r="D15" s="58"/>
      <c r="E15" s="58"/>
      <c r="F15" s="63"/>
    </row>
    <row r="16" spans="1:6" ht="15.75" thickBot="1" x14ac:dyDescent="0.3"/>
    <row r="17" spans="1:6" ht="22.5" thickBot="1" x14ac:dyDescent="0.3">
      <c r="A17" s="82" t="s">
        <v>176</v>
      </c>
      <c r="B17" s="83"/>
      <c r="C17" s="83"/>
      <c r="D17" s="83"/>
      <c r="E17" s="83"/>
      <c r="F17" s="84"/>
    </row>
    <row r="18" spans="1:6" ht="22.5" thickBot="1" x14ac:dyDescent="0.3">
      <c r="A18" s="67" t="s">
        <v>0</v>
      </c>
      <c r="B18" s="68"/>
      <c r="C18" s="68"/>
      <c r="D18" s="1" t="e">
        <f>A19+A20+A21+A22+A23+A24+A25+A26+A27+A28</f>
        <v>#VALUE!</v>
      </c>
      <c r="E18" s="17"/>
      <c r="F18" s="18"/>
    </row>
    <row r="19" spans="1:6" ht="21.75" x14ac:dyDescent="0.25">
      <c r="A19" s="6">
        <v>1</v>
      </c>
      <c r="B19" s="7" t="s">
        <v>1</v>
      </c>
      <c r="C19" s="69" t="s">
        <v>120</v>
      </c>
      <c r="D19" s="69"/>
      <c r="E19" s="69"/>
      <c r="F19" s="70"/>
    </row>
    <row r="20" spans="1:6" ht="21.75" x14ac:dyDescent="0.25">
      <c r="A20" s="8">
        <v>3</v>
      </c>
      <c r="B20" s="9" t="s">
        <v>1</v>
      </c>
      <c r="C20" s="58" t="s">
        <v>121</v>
      </c>
      <c r="D20" s="58"/>
      <c r="E20" s="58"/>
      <c r="F20" s="63"/>
    </row>
    <row r="21" spans="1:6" ht="21.75" x14ac:dyDescent="0.25">
      <c r="A21" s="8">
        <v>7</v>
      </c>
      <c r="B21" s="9" t="s">
        <v>1</v>
      </c>
      <c r="C21" s="58" t="s">
        <v>39</v>
      </c>
      <c r="D21" s="58"/>
      <c r="E21" s="58"/>
      <c r="F21" s="63"/>
    </row>
    <row r="22" spans="1:6" ht="21.75" x14ac:dyDescent="0.25">
      <c r="A22" s="8">
        <v>1</v>
      </c>
      <c r="B22" s="9" t="s">
        <v>1</v>
      </c>
      <c r="C22" s="58" t="s">
        <v>6</v>
      </c>
      <c r="D22" s="58"/>
      <c r="E22" s="58"/>
      <c r="F22" s="63"/>
    </row>
    <row r="23" spans="1:6" ht="21.75" x14ac:dyDescent="0.25">
      <c r="A23" s="8">
        <v>1</v>
      </c>
      <c r="B23" s="9" t="s">
        <v>1</v>
      </c>
      <c r="C23" s="58" t="s">
        <v>14</v>
      </c>
      <c r="D23" s="58"/>
      <c r="E23" s="58"/>
      <c r="F23" s="63"/>
    </row>
    <row r="24" spans="1:6" ht="21.75" x14ac:dyDescent="0.25">
      <c r="A24" s="8">
        <v>1</v>
      </c>
      <c r="B24" s="9" t="s">
        <v>1</v>
      </c>
      <c r="C24" s="58" t="s">
        <v>117</v>
      </c>
      <c r="D24" s="58"/>
      <c r="E24" s="58"/>
      <c r="F24" s="63"/>
    </row>
    <row r="25" spans="1:6" ht="21.75" x14ac:dyDescent="0.25">
      <c r="A25" s="8">
        <v>1</v>
      </c>
      <c r="B25" s="9" t="s">
        <v>1</v>
      </c>
      <c r="C25" s="58" t="s">
        <v>160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2</v>
      </c>
      <c r="D26" s="58"/>
      <c r="E26" s="58"/>
      <c r="F26" s="63"/>
    </row>
    <row r="27" spans="1:6" ht="15.75" thickBot="1" x14ac:dyDescent="0.3"/>
    <row r="28" spans="1:6" ht="22.5" thickBot="1" x14ac:dyDescent="0.3">
      <c r="A28" s="64" t="s">
        <v>177</v>
      </c>
      <c r="B28" s="65"/>
      <c r="C28" s="65"/>
      <c r="D28" s="65"/>
      <c r="E28" s="65"/>
      <c r="F28" s="66"/>
    </row>
    <row r="29" spans="1:6" ht="22.5" thickBot="1" x14ac:dyDescent="0.3">
      <c r="A29" s="67" t="s">
        <v>0</v>
      </c>
      <c r="B29" s="68"/>
      <c r="C29" s="68"/>
      <c r="D29" s="1">
        <f>A30+A31+A32+A33+A34+A35+A36+A37+A38+A39</f>
        <v>19</v>
      </c>
      <c r="E29" s="17"/>
      <c r="F29" s="18"/>
    </row>
    <row r="30" spans="1:6" ht="21.75" x14ac:dyDescent="0.25">
      <c r="A30" s="6">
        <v>1</v>
      </c>
      <c r="B30" s="7" t="s">
        <v>1</v>
      </c>
      <c r="C30" s="69" t="s">
        <v>59</v>
      </c>
      <c r="D30" s="69"/>
      <c r="E30" s="69"/>
      <c r="F30" s="70"/>
    </row>
    <row r="31" spans="1:6" ht="21.75" x14ac:dyDescent="0.25">
      <c r="A31" s="8">
        <v>4</v>
      </c>
      <c r="B31" s="9" t="s">
        <v>1</v>
      </c>
      <c r="C31" s="58" t="s">
        <v>178</v>
      </c>
      <c r="D31" s="58"/>
      <c r="E31" s="58"/>
      <c r="F31" s="63"/>
    </row>
    <row r="32" spans="1:6" ht="21.75" x14ac:dyDescent="0.25">
      <c r="A32" s="8">
        <v>1</v>
      </c>
      <c r="B32" s="9" t="s">
        <v>1</v>
      </c>
      <c r="C32" s="58" t="s">
        <v>179</v>
      </c>
      <c r="D32" s="58"/>
      <c r="E32" s="58"/>
      <c r="F32" s="63"/>
    </row>
    <row r="33" spans="1:6" ht="21.75" x14ac:dyDescent="0.25">
      <c r="A33" s="8">
        <v>2</v>
      </c>
      <c r="B33" s="9" t="s">
        <v>1</v>
      </c>
      <c r="C33" s="58" t="s">
        <v>61</v>
      </c>
      <c r="D33" s="58"/>
      <c r="E33" s="58"/>
      <c r="F33" s="63"/>
    </row>
    <row r="34" spans="1:6" ht="21.75" x14ac:dyDescent="0.25">
      <c r="A34" s="8">
        <v>6</v>
      </c>
      <c r="B34" s="9" t="s">
        <v>1</v>
      </c>
      <c r="C34" s="58" t="s">
        <v>62</v>
      </c>
      <c r="D34" s="87"/>
      <c r="E34" s="87"/>
      <c r="F34" s="88"/>
    </row>
    <row r="35" spans="1:6" ht="21.75" x14ac:dyDescent="0.25">
      <c r="A35" s="8">
        <v>1</v>
      </c>
      <c r="B35" s="9" t="s">
        <v>1</v>
      </c>
      <c r="C35" s="58" t="s">
        <v>180</v>
      </c>
      <c r="D35" s="87"/>
      <c r="E35" s="87"/>
      <c r="F35" s="88"/>
    </row>
    <row r="36" spans="1:6" ht="21.75" x14ac:dyDescent="0.25">
      <c r="A36" s="8">
        <v>1</v>
      </c>
      <c r="B36" s="9" t="s">
        <v>1</v>
      </c>
      <c r="C36" s="58" t="s">
        <v>14</v>
      </c>
      <c r="D36" s="87"/>
      <c r="E36" s="87"/>
      <c r="F36" s="88"/>
    </row>
    <row r="37" spans="1:6" ht="21.75" x14ac:dyDescent="0.25">
      <c r="A37" s="8">
        <v>1</v>
      </c>
      <c r="B37" s="9" t="s">
        <v>1</v>
      </c>
      <c r="C37" s="58" t="s">
        <v>163</v>
      </c>
      <c r="D37" s="87"/>
      <c r="E37" s="87"/>
      <c r="F37" s="88"/>
    </row>
    <row r="38" spans="1:6" ht="21.75" x14ac:dyDescent="0.25">
      <c r="A38" s="8">
        <v>1</v>
      </c>
      <c r="B38" s="9" t="s">
        <v>1</v>
      </c>
      <c r="C38" s="58" t="s">
        <v>95</v>
      </c>
      <c r="D38" s="87"/>
      <c r="E38" s="87"/>
      <c r="F38" s="88"/>
    </row>
    <row r="39" spans="1:6" ht="22.5" thickBot="1" x14ac:dyDescent="0.3">
      <c r="A39" s="12">
        <v>1</v>
      </c>
      <c r="B39" s="13" t="s">
        <v>1</v>
      </c>
      <c r="C39" s="80" t="s">
        <v>2</v>
      </c>
      <c r="D39" s="112"/>
      <c r="E39" s="112"/>
      <c r="F39" s="113"/>
    </row>
    <row r="40" spans="1:6" ht="15.75" thickBot="1" x14ac:dyDescent="0.3"/>
    <row r="41" spans="1:6" ht="22.5" thickBot="1" x14ac:dyDescent="0.3">
      <c r="A41" s="64" t="s">
        <v>181</v>
      </c>
      <c r="B41" s="65"/>
      <c r="C41" s="65"/>
      <c r="D41" s="65"/>
      <c r="E41" s="65"/>
      <c r="F41" s="66"/>
    </row>
    <row r="42" spans="1:6" ht="22.5" thickBot="1" x14ac:dyDescent="0.3">
      <c r="A42" s="67" t="s">
        <v>0</v>
      </c>
      <c r="B42" s="68"/>
      <c r="C42" s="68"/>
      <c r="D42" s="1">
        <f>A43+A44+A45+A46+A47+A48+A49+A50+A51+A52</f>
        <v>10</v>
      </c>
      <c r="E42" s="17"/>
      <c r="F42" s="18"/>
    </row>
    <row r="43" spans="1:6" ht="21.75" x14ac:dyDescent="0.25">
      <c r="A43" s="6">
        <v>1</v>
      </c>
      <c r="B43" s="7" t="s">
        <v>1</v>
      </c>
      <c r="C43" s="69" t="s">
        <v>182</v>
      </c>
      <c r="D43" s="69"/>
      <c r="E43" s="69"/>
      <c r="F43" s="70"/>
    </row>
    <row r="44" spans="1:6" ht="21.75" x14ac:dyDescent="0.25">
      <c r="A44" s="8">
        <v>1</v>
      </c>
      <c r="B44" s="9" t="s">
        <v>1</v>
      </c>
      <c r="C44" s="58" t="s">
        <v>100</v>
      </c>
      <c r="D44" s="58"/>
      <c r="E44" s="58"/>
      <c r="F44" s="63"/>
    </row>
    <row r="45" spans="1:6" ht="21.75" x14ac:dyDescent="0.25">
      <c r="A45" s="8">
        <v>1</v>
      </c>
      <c r="B45" s="9" t="s">
        <v>1</v>
      </c>
      <c r="C45" s="58" t="s">
        <v>106</v>
      </c>
      <c r="D45" s="58"/>
      <c r="E45" s="58"/>
      <c r="F45" s="63"/>
    </row>
    <row r="46" spans="1:6" ht="21.75" x14ac:dyDescent="0.25">
      <c r="A46" s="8">
        <v>1</v>
      </c>
      <c r="B46" s="9" t="s">
        <v>1</v>
      </c>
      <c r="C46" s="58" t="s">
        <v>183</v>
      </c>
      <c r="D46" s="58"/>
      <c r="E46" s="58"/>
      <c r="F46" s="63"/>
    </row>
    <row r="47" spans="1:6" ht="21.75" x14ac:dyDescent="0.25">
      <c r="A47" s="8">
        <v>1</v>
      </c>
      <c r="B47" s="9" t="s">
        <v>1</v>
      </c>
      <c r="C47" s="58" t="s">
        <v>102</v>
      </c>
      <c r="D47" s="58"/>
      <c r="E47" s="58"/>
      <c r="F47" s="63"/>
    </row>
    <row r="48" spans="1:6" ht="21.75" x14ac:dyDescent="0.25">
      <c r="A48" s="8">
        <v>1</v>
      </c>
      <c r="B48" s="9" t="s">
        <v>1</v>
      </c>
      <c r="C48" s="58" t="s">
        <v>108</v>
      </c>
      <c r="D48" s="58"/>
      <c r="E48" s="58"/>
      <c r="F48" s="63"/>
    </row>
    <row r="49" spans="1:6" ht="21.75" x14ac:dyDescent="0.25">
      <c r="A49" s="8">
        <v>1</v>
      </c>
      <c r="B49" s="9" t="s">
        <v>1</v>
      </c>
      <c r="C49" s="10" t="s">
        <v>14</v>
      </c>
      <c r="D49" s="10"/>
      <c r="E49" s="10"/>
      <c r="F49" s="11"/>
    </row>
    <row r="50" spans="1:6" ht="21.75" x14ac:dyDescent="0.25">
      <c r="A50" s="8">
        <v>1</v>
      </c>
      <c r="B50" s="9" t="s">
        <v>1</v>
      </c>
      <c r="C50" s="10" t="s">
        <v>104</v>
      </c>
      <c r="D50" s="10"/>
      <c r="E50" s="10"/>
      <c r="F50" s="11"/>
    </row>
    <row r="51" spans="1:6" ht="21.75" x14ac:dyDescent="0.25">
      <c r="A51" s="8">
        <v>1</v>
      </c>
      <c r="B51" s="9" t="s">
        <v>1</v>
      </c>
      <c r="C51" s="10" t="s">
        <v>163</v>
      </c>
      <c r="D51" s="10"/>
      <c r="E51" s="10"/>
      <c r="F51" s="11"/>
    </row>
    <row r="52" spans="1:6" ht="22.5" thickBot="1" x14ac:dyDescent="0.3">
      <c r="A52" s="12">
        <v>1</v>
      </c>
      <c r="B52" s="13" t="s">
        <v>1</v>
      </c>
      <c r="C52" s="14" t="s">
        <v>95</v>
      </c>
      <c r="D52" s="14"/>
      <c r="E52" s="14"/>
      <c r="F52" s="15"/>
    </row>
    <row r="53" spans="1:6" ht="15.75" thickBot="1" x14ac:dyDescent="0.3"/>
    <row r="54" spans="1:6" ht="22.5" thickBot="1" x14ac:dyDescent="0.3">
      <c r="A54" s="82" t="s">
        <v>184</v>
      </c>
      <c r="B54" s="83"/>
      <c r="C54" s="83"/>
      <c r="D54" s="83"/>
      <c r="E54" s="83"/>
      <c r="F54" s="84"/>
    </row>
    <row r="55" spans="1:6" ht="21.75" x14ac:dyDescent="0.25">
      <c r="A55" s="110" t="s">
        <v>0</v>
      </c>
      <c r="B55" s="111"/>
      <c r="C55" s="111"/>
      <c r="D55" s="44">
        <f>A56+A57+A58+A59+A60</f>
        <v>8</v>
      </c>
      <c r="E55" s="45"/>
      <c r="F55" s="46"/>
    </row>
    <row r="56" spans="1:6" ht="21.75" x14ac:dyDescent="0.25">
      <c r="A56" s="41">
        <v>1</v>
      </c>
      <c r="B56" s="42" t="s">
        <v>1</v>
      </c>
      <c r="C56" s="61" t="s">
        <v>169</v>
      </c>
      <c r="D56" s="61"/>
      <c r="E56" s="61"/>
      <c r="F56" s="62"/>
    </row>
    <row r="57" spans="1:6" ht="21.75" x14ac:dyDescent="0.25">
      <c r="A57" s="41">
        <v>1</v>
      </c>
      <c r="B57" s="42" t="s">
        <v>1</v>
      </c>
      <c r="C57" s="61" t="s">
        <v>30</v>
      </c>
      <c r="D57" s="61"/>
      <c r="E57" s="61"/>
      <c r="F57" s="62"/>
    </row>
    <row r="58" spans="1:6" ht="21.75" x14ac:dyDescent="0.25">
      <c r="A58" s="8">
        <v>1</v>
      </c>
      <c r="B58" s="9" t="s">
        <v>1</v>
      </c>
      <c r="C58" s="58" t="s">
        <v>14</v>
      </c>
      <c r="D58" s="58"/>
      <c r="E58" s="58"/>
      <c r="F58" s="63"/>
    </row>
    <row r="59" spans="1:6" ht="21.75" x14ac:dyDescent="0.25">
      <c r="A59" s="8">
        <v>1</v>
      </c>
      <c r="B59" s="9" t="s">
        <v>1</v>
      </c>
      <c r="C59" s="61" t="s">
        <v>171</v>
      </c>
      <c r="D59" s="61"/>
      <c r="E59" s="61"/>
      <c r="F59" s="62"/>
    </row>
    <row r="60" spans="1:6" ht="21.75" x14ac:dyDescent="0.25">
      <c r="A60" s="8">
        <v>4</v>
      </c>
      <c r="B60" s="9" t="s">
        <v>1</v>
      </c>
      <c r="C60" s="58" t="s">
        <v>172</v>
      </c>
      <c r="D60" s="58"/>
      <c r="E60" s="58"/>
      <c r="F60" s="63"/>
    </row>
  </sheetData>
  <mergeCells count="51">
    <mergeCell ref="C6:F6"/>
    <mergeCell ref="A1:F1"/>
    <mergeCell ref="A2:C2"/>
    <mergeCell ref="C3:F3"/>
    <mergeCell ref="C4:F4"/>
    <mergeCell ref="C5:F5"/>
    <mergeCell ref="C20:F20"/>
    <mergeCell ref="A8:F8"/>
    <mergeCell ref="A9:C9"/>
    <mergeCell ref="C10:F10"/>
    <mergeCell ref="C11:F11"/>
    <mergeCell ref="C12:F12"/>
    <mergeCell ref="C13:F13"/>
    <mergeCell ref="C14:F14"/>
    <mergeCell ref="C15:F15"/>
    <mergeCell ref="A17:F17"/>
    <mergeCell ref="A18:C18"/>
    <mergeCell ref="C19:F19"/>
    <mergeCell ref="C33:F33"/>
    <mergeCell ref="C21:F21"/>
    <mergeCell ref="C22:F22"/>
    <mergeCell ref="C23:F23"/>
    <mergeCell ref="C24:F24"/>
    <mergeCell ref="C25:F25"/>
    <mergeCell ref="C26:F26"/>
    <mergeCell ref="A28:F28"/>
    <mergeCell ref="A29:C29"/>
    <mergeCell ref="C30:F30"/>
    <mergeCell ref="C31:F31"/>
    <mergeCell ref="C32:F32"/>
    <mergeCell ref="C46:F46"/>
    <mergeCell ref="C34:F34"/>
    <mergeCell ref="C35:F35"/>
    <mergeCell ref="C36:F36"/>
    <mergeCell ref="C37:F37"/>
    <mergeCell ref="C38:F38"/>
    <mergeCell ref="C39:F39"/>
    <mergeCell ref="A41:F41"/>
    <mergeCell ref="A42:C42"/>
    <mergeCell ref="C43:F43"/>
    <mergeCell ref="C44:F44"/>
    <mergeCell ref="C45:F45"/>
    <mergeCell ref="C58:F58"/>
    <mergeCell ref="C59:F59"/>
    <mergeCell ref="C60:F60"/>
    <mergeCell ref="C47:F47"/>
    <mergeCell ref="C48:F48"/>
    <mergeCell ref="A54:F54"/>
    <mergeCell ref="A55:C55"/>
    <mergeCell ref="C56:F56"/>
    <mergeCell ref="C57:F57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A0DF-0F4B-4C06-B301-54BBE95E9CBA}">
  <dimension ref="A1:F44"/>
  <sheetViews>
    <sheetView topLeftCell="A11" workbookViewId="0">
      <selection activeCell="M41" sqref="M41"/>
    </sheetView>
  </sheetViews>
  <sheetFormatPr defaultRowHeight="15" x14ac:dyDescent="0.25"/>
  <sheetData>
    <row r="1" spans="1:6" ht="22.5" thickBot="1" x14ac:dyDescent="0.3">
      <c r="A1" s="82" t="s">
        <v>185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f>A3+A4+A5+A6</f>
        <v>4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155</v>
      </c>
      <c r="D3" s="69"/>
      <c r="E3" s="69"/>
      <c r="F3" s="70"/>
    </row>
    <row r="4" spans="1:6" ht="21.75" x14ac:dyDescent="0.25">
      <c r="A4" s="8">
        <v>1</v>
      </c>
      <c r="B4" s="9" t="s">
        <v>1</v>
      </c>
      <c r="C4" s="58" t="s">
        <v>156</v>
      </c>
      <c r="D4" s="58"/>
      <c r="E4" s="58"/>
      <c r="F4" s="63"/>
    </row>
    <row r="5" spans="1:6" ht="21.75" x14ac:dyDescent="0.25">
      <c r="A5" s="8">
        <v>1</v>
      </c>
      <c r="B5" s="9" t="s">
        <v>1</v>
      </c>
      <c r="C5" s="58" t="s">
        <v>4</v>
      </c>
      <c r="D5" s="59"/>
      <c r="E5" s="59"/>
      <c r="F5" s="60"/>
    </row>
    <row r="6" spans="1:6" ht="22.5" thickBot="1" x14ac:dyDescent="0.3">
      <c r="A6" s="12">
        <v>1</v>
      </c>
      <c r="B6" s="13" t="s">
        <v>1</v>
      </c>
      <c r="C6" s="80" t="s">
        <v>3</v>
      </c>
      <c r="D6" s="108"/>
      <c r="E6" s="108"/>
      <c r="F6" s="109"/>
    </row>
    <row r="7" spans="1:6" ht="15.75" thickBot="1" x14ac:dyDescent="0.3"/>
    <row r="8" spans="1:6" ht="22.5" thickBot="1" x14ac:dyDescent="0.3">
      <c r="A8" s="64" t="s">
        <v>186</v>
      </c>
      <c r="B8" s="65"/>
      <c r="C8" s="65"/>
      <c r="D8" s="65"/>
      <c r="E8" s="65"/>
      <c r="F8" s="66"/>
    </row>
    <row r="9" spans="1:6" ht="22.5" thickBot="1" x14ac:dyDescent="0.3">
      <c r="A9" s="67" t="s">
        <v>0</v>
      </c>
      <c r="B9" s="68"/>
      <c r="C9" s="68"/>
      <c r="D9" s="1" t="e">
        <f>A10+A11+A12+A13+A14+A15+A16+A17+A18</f>
        <v>#VALUE!</v>
      </c>
      <c r="E9" s="17"/>
      <c r="F9" s="18"/>
    </row>
    <row r="10" spans="1:6" ht="21.75" x14ac:dyDescent="0.25">
      <c r="A10" s="6">
        <v>1</v>
      </c>
      <c r="B10" s="7" t="s">
        <v>1</v>
      </c>
      <c r="C10" s="69" t="s">
        <v>133</v>
      </c>
      <c r="D10" s="69"/>
      <c r="E10" s="69"/>
      <c r="F10" s="70"/>
    </row>
    <row r="11" spans="1:6" ht="21.75" x14ac:dyDescent="0.25">
      <c r="A11" s="8">
        <v>2</v>
      </c>
      <c r="B11" s="9" t="s">
        <v>1</v>
      </c>
      <c r="C11" s="58" t="s">
        <v>37</v>
      </c>
      <c r="D11" s="58"/>
      <c r="E11" s="58"/>
      <c r="F11" s="63"/>
    </row>
    <row r="12" spans="1:6" ht="21.75" x14ac:dyDescent="0.25">
      <c r="A12" s="8">
        <v>5</v>
      </c>
      <c r="B12" s="9" t="s">
        <v>1</v>
      </c>
      <c r="C12" s="58" t="s">
        <v>38</v>
      </c>
      <c r="D12" s="58"/>
      <c r="E12" s="58"/>
      <c r="F12" s="63"/>
    </row>
    <row r="13" spans="1:6" ht="21.75" x14ac:dyDescent="0.25">
      <c r="A13" s="8">
        <v>1</v>
      </c>
      <c r="B13" s="9" t="s">
        <v>1</v>
      </c>
      <c r="C13" s="58" t="s">
        <v>36</v>
      </c>
      <c r="D13" s="58"/>
      <c r="E13" s="58"/>
      <c r="F13" s="63"/>
    </row>
    <row r="14" spans="1:6" ht="21.75" x14ac:dyDescent="0.25">
      <c r="A14" s="8">
        <v>1</v>
      </c>
      <c r="B14" s="9" t="s">
        <v>1</v>
      </c>
      <c r="C14" s="58" t="s">
        <v>2</v>
      </c>
      <c r="D14" s="58"/>
      <c r="E14" s="58"/>
      <c r="F14" s="63"/>
    </row>
    <row r="15" spans="1:6" ht="15.75" thickBot="1" x14ac:dyDescent="0.3"/>
    <row r="16" spans="1:6" ht="22.5" thickBot="1" x14ac:dyDescent="0.3">
      <c r="A16" s="64" t="s">
        <v>187</v>
      </c>
      <c r="B16" s="65"/>
      <c r="C16" s="65"/>
      <c r="D16" s="65"/>
      <c r="E16" s="65"/>
      <c r="F16" s="66"/>
    </row>
    <row r="17" spans="1:6" ht="22.5" thickBot="1" x14ac:dyDescent="0.3">
      <c r="A17" s="67" t="s">
        <v>0</v>
      </c>
      <c r="B17" s="68"/>
      <c r="C17" s="68"/>
      <c r="D17" s="1" t="e">
        <f>A18+A19+A20+A21+A22+A23+A24+A25+A26</f>
        <v>#VALUE!</v>
      </c>
      <c r="E17" s="17"/>
      <c r="F17" s="18"/>
    </row>
    <row r="18" spans="1:6" ht="21.75" x14ac:dyDescent="0.25">
      <c r="A18" s="6">
        <v>1</v>
      </c>
      <c r="B18" s="7" t="s">
        <v>1</v>
      </c>
      <c r="C18" s="69" t="s">
        <v>120</v>
      </c>
      <c r="D18" s="69"/>
      <c r="E18" s="69"/>
      <c r="F18" s="70"/>
    </row>
    <row r="19" spans="1:6" ht="21.75" x14ac:dyDescent="0.25">
      <c r="A19" s="8">
        <v>2</v>
      </c>
      <c r="B19" s="9" t="s">
        <v>1</v>
      </c>
      <c r="C19" s="58" t="s">
        <v>121</v>
      </c>
      <c r="D19" s="58"/>
      <c r="E19" s="58"/>
      <c r="F19" s="63"/>
    </row>
    <row r="20" spans="1:6" ht="21.75" x14ac:dyDescent="0.25">
      <c r="A20" s="8">
        <v>9</v>
      </c>
      <c r="B20" s="9" t="s">
        <v>1</v>
      </c>
      <c r="C20" s="58" t="s">
        <v>39</v>
      </c>
      <c r="D20" s="58"/>
      <c r="E20" s="58"/>
      <c r="F20" s="63"/>
    </row>
    <row r="21" spans="1:6" ht="21.75" x14ac:dyDescent="0.25">
      <c r="A21" s="8">
        <v>1</v>
      </c>
      <c r="B21" s="9" t="s">
        <v>1</v>
      </c>
      <c r="C21" s="58" t="s">
        <v>159</v>
      </c>
      <c r="D21" s="58"/>
      <c r="E21" s="58"/>
      <c r="F21" s="63"/>
    </row>
    <row r="22" spans="1:6" ht="21.75" x14ac:dyDescent="0.25">
      <c r="A22" s="8">
        <v>1</v>
      </c>
      <c r="B22" s="9" t="s">
        <v>1</v>
      </c>
      <c r="C22" s="58" t="s">
        <v>14</v>
      </c>
      <c r="D22" s="58"/>
      <c r="E22" s="58"/>
      <c r="F22" s="63"/>
    </row>
    <row r="23" spans="1:6" ht="21.75" x14ac:dyDescent="0.25">
      <c r="A23" s="8">
        <v>1</v>
      </c>
      <c r="B23" s="9" t="s">
        <v>1</v>
      </c>
      <c r="C23" s="58" t="s">
        <v>188</v>
      </c>
      <c r="D23" s="58"/>
      <c r="E23" s="58"/>
      <c r="F23" s="63"/>
    </row>
    <row r="24" spans="1:6" ht="21.75" x14ac:dyDescent="0.25">
      <c r="A24" s="8">
        <v>1</v>
      </c>
      <c r="B24" s="9" t="s">
        <v>1</v>
      </c>
      <c r="C24" s="58" t="s">
        <v>3</v>
      </c>
      <c r="D24" s="59"/>
      <c r="E24" s="59"/>
      <c r="F24" s="60"/>
    </row>
    <row r="25" spans="1:6" ht="15.75" thickBot="1" x14ac:dyDescent="0.3"/>
    <row r="26" spans="1:6" ht="22.5" thickBot="1" x14ac:dyDescent="0.3">
      <c r="A26" s="64" t="s">
        <v>189</v>
      </c>
      <c r="B26" s="65"/>
      <c r="C26" s="65"/>
      <c r="D26" s="65"/>
      <c r="E26" s="65"/>
      <c r="F26" s="66"/>
    </row>
    <row r="27" spans="1:6" ht="22.5" thickBot="1" x14ac:dyDescent="0.3">
      <c r="A27" s="67" t="s">
        <v>0</v>
      </c>
      <c r="B27" s="68"/>
      <c r="C27" s="68"/>
      <c r="D27" s="1" t="e">
        <f>A28+A29+A30+A31+A32+A33+A34+A35+A36</f>
        <v>#VALUE!</v>
      </c>
      <c r="E27" s="17"/>
      <c r="F27" s="18"/>
    </row>
    <row r="28" spans="1:6" ht="21.75" x14ac:dyDescent="0.25">
      <c r="A28" s="6">
        <v>1</v>
      </c>
      <c r="B28" s="7" t="s">
        <v>1</v>
      </c>
      <c r="C28" s="69" t="s">
        <v>60</v>
      </c>
      <c r="D28" s="69"/>
      <c r="E28" s="69"/>
      <c r="F28" s="70"/>
    </row>
    <row r="29" spans="1:6" ht="21.75" x14ac:dyDescent="0.25">
      <c r="A29" s="8">
        <v>1</v>
      </c>
      <c r="B29" s="9" t="s">
        <v>1</v>
      </c>
      <c r="C29" s="58" t="s">
        <v>190</v>
      </c>
      <c r="D29" s="58"/>
      <c r="E29" s="58"/>
      <c r="F29" s="63"/>
    </row>
    <row r="30" spans="1:6" ht="21.75" x14ac:dyDescent="0.25">
      <c r="A30" s="8">
        <v>3</v>
      </c>
      <c r="B30" s="9" t="s">
        <v>1</v>
      </c>
      <c r="C30" s="58" t="s">
        <v>62</v>
      </c>
      <c r="D30" s="58"/>
      <c r="E30" s="58"/>
      <c r="F30" s="63"/>
    </row>
    <row r="31" spans="1:6" ht="21.75" x14ac:dyDescent="0.25">
      <c r="A31" s="8">
        <v>1</v>
      </c>
      <c r="B31" s="9" t="s">
        <v>1</v>
      </c>
      <c r="C31" s="58" t="s">
        <v>153</v>
      </c>
      <c r="D31" s="58"/>
      <c r="E31" s="58"/>
      <c r="F31" s="63"/>
    </row>
    <row r="32" spans="1:6" ht="21.75" x14ac:dyDescent="0.25">
      <c r="A32" s="8">
        <v>1</v>
      </c>
      <c r="B32" s="9" t="s">
        <v>1</v>
      </c>
      <c r="C32" s="58" t="s">
        <v>163</v>
      </c>
      <c r="D32" s="58"/>
      <c r="E32" s="58"/>
      <c r="F32" s="63"/>
    </row>
    <row r="33" spans="1:6" ht="15.75" thickBot="1" x14ac:dyDescent="0.3"/>
    <row r="34" spans="1:6" ht="22.5" thickBot="1" x14ac:dyDescent="0.3">
      <c r="A34" s="64" t="s">
        <v>191</v>
      </c>
      <c r="B34" s="65"/>
      <c r="C34" s="65"/>
      <c r="D34" s="65"/>
      <c r="E34" s="65"/>
      <c r="F34" s="66"/>
    </row>
    <row r="35" spans="1:6" ht="22.5" thickBot="1" x14ac:dyDescent="0.3">
      <c r="A35" s="67" t="s">
        <v>0</v>
      </c>
      <c r="B35" s="68"/>
      <c r="C35" s="68"/>
      <c r="D35" s="1" t="e">
        <f>A36+A37+A38+A39+A40+A41+A42+A43+A44</f>
        <v>#VALUE!</v>
      </c>
      <c r="E35" s="17"/>
      <c r="F35" s="18"/>
    </row>
    <row r="36" spans="1:6" ht="21.75" x14ac:dyDescent="0.25">
      <c r="A36" s="6">
        <v>1</v>
      </c>
      <c r="B36" s="7" t="s">
        <v>1</v>
      </c>
      <c r="C36" s="69" t="s">
        <v>106</v>
      </c>
      <c r="D36" s="69"/>
      <c r="E36" s="69"/>
      <c r="F36" s="70"/>
    </row>
    <row r="37" spans="1:6" ht="21.75" x14ac:dyDescent="0.25">
      <c r="A37" s="8">
        <v>1</v>
      </c>
      <c r="B37" s="9" t="s">
        <v>1</v>
      </c>
      <c r="C37" s="58" t="s">
        <v>108</v>
      </c>
      <c r="D37" s="58"/>
      <c r="E37" s="58"/>
      <c r="F37" s="63"/>
    </row>
    <row r="38" spans="1:6" ht="21.75" x14ac:dyDescent="0.25">
      <c r="A38" s="8">
        <v>1</v>
      </c>
      <c r="B38" s="9" t="s">
        <v>1</v>
      </c>
      <c r="C38" s="58" t="s">
        <v>104</v>
      </c>
      <c r="D38" s="58"/>
      <c r="E38" s="58"/>
      <c r="F38" s="63"/>
    </row>
    <row r="39" spans="1:6" ht="15.75" thickBot="1" x14ac:dyDescent="0.3"/>
    <row r="40" spans="1:6" ht="22.5" thickBot="1" x14ac:dyDescent="0.3">
      <c r="A40" s="82" t="s">
        <v>192</v>
      </c>
      <c r="B40" s="83"/>
      <c r="C40" s="83"/>
      <c r="D40" s="83"/>
      <c r="E40" s="83"/>
      <c r="F40" s="84"/>
    </row>
    <row r="41" spans="1:6" ht="22.5" thickBot="1" x14ac:dyDescent="0.3">
      <c r="A41" s="96" t="s">
        <v>0</v>
      </c>
      <c r="B41" s="97"/>
      <c r="C41" s="97"/>
      <c r="D41" s="36">
        <f>A42+A43+A44+A45+A46+A47+A48+A49+AW50</f>
        <v>4</v>
      </c>
      <c r="E41" s="37"/>
      <c r="F41" s="38"/>
    </row>
    <row r="42" spans="1:6" ht="21.75" x14ac:dyDescent="0.25">
      <c r="A42" s="41">
        <v>1</v>
      </c>
      <c r="B42" s="42" t="s">
        <v>1</v>
      </c>
      <c r="C42" s="61" t="s">
        <v>169</v>
      </c>
      <c r="D42" s="61"/>
      <c r="E42" s="61"/>
      <c r="F42" s="62"/>
    </row>
    <row r="43" spans="1:6" ht="21.75" x14ac:dyDescent="0.25">
      <c r="A43" s="41">
        <v>1</v>
      </c>
      <c r="B43" s="42" t="s">
        <v>1</v>
      </c>
      <c r="C43" s="61" t="s">
        <v>30</v>
      </c>
      <c r="D43" s="61"/>
      <c r="E43" s="61"/>
      <c r="F43" s="62"/>
    </row>
    <row r="44" spans="1:6" ht="21.75" x14ac:dyDescent="0.25">
      <c r="A44" s="41">
        <v>2</v>
      </c>
      <c r="B44" s="42" t="s">
        <v>1</v>
      </c>
      <c r="C44" s="61" t="s">
        <v>172</v>
      </c>
      <c r="D44" s="61"/>
      <c r="E44" s="61"/>
      <c r="F44" s="62"/>
    </row>
  </sheetData>
  <mergeCells count="39">
    <mergeCell ref="C6:F6"/>
    <mergeCell ref="A1:F1"/>
    <mergeCell ref="A2:C2"/>
    <mergeCell ref="C3:F3"/>
    <mergeCell ref="C4:F4"/>
    <mergeCell ref="C5:F5"/>
    <mergeCell ref="C20:F20"/>
    <mergeCell ref="A8:F8"/>
    <mergeCell ref="A9:C9"/>
    <mergeCell ref="C10:F10"/>
    <mergeCell ref="C11:F11"/>
    <mergeCell ref="C12:F12"/>
    <mergeCell ref="C13:F13"/>
    <mergeCell ref="C14:F14"/>
    <mergeCell ref="A16:F16"/>
    <mergeCell ref="A17:C17"/>
    <mergeCell ref="C18:F18"/>
    <mergeCell ref="C19:F19"/>
    <mergeCell ref="A34:F34"/>
    <mergeCell ref="C21:F21"/>
    <mergeCell ref="C22:F22"/>
    <mergeCell ref="C23:F23"/>
    <mergeCell ref="C24:F24"/>
    <mergeCell ref="A26:F26"/>
    <mergeCell ref="A27:C27"/>
    <mergeCell ref="C28:F28"/>
    <mergeCell ref="C29:F29"/>
    <mergeCell ref="C30:F30"/>
    <mergeCell ref="C31:F31"/>
    <mergeCell ref="C32:F32"/>
    <mergeCell ref="C42:F42"/>
    <mergeCell ref="C43:F43"/>
    <mergeCell ref="C44:F44"/>
    <mergeCell ref="A35:C35"/>
    <mergeCell ref="C36:F36"/>
    <mergeCell ref="C37:F37"/>
    <mergeCell ref="C38:F38"/>
    <mergeCell ref="A40:F40"/>
    <mergeCell ref="A41:C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EA88-E06E-4755-9366-2AB65858E7D1}">
  <dimension ref="A1:F28"/>
  <sheetViews>
    <sheetView workbookViewId="0">
      <selection activeCell="F31" sqref="F31"/>
    </sheetView>
  </sheetViews>
  <sheetFormatPr defaultRowHeight="15" x14ac:dyDescent="0.25"/>
  <sheetData>
    <row r="1" spans="1:6" ht="22.5" thickBot="1" x14ac:dyDescent="0.3">
      <c r="A1" s="64" t="s">
        <v>193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 t="e">
        <f>A3+A4+A5+A6</f>
        <v>#VALUE!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194</v>
      </c>
      <c r="D3" s="58"/>
      <c r="E3" s="58"/>
      <c r="F3" s="63"/>
    </row>
    <row r="4" spans="1:6" ht="15.75" thickBot="1" x14ac:dyDescent="0.3"/>
    <row r="5" spans="1:6" ht="22.5" thickBot="1" x14ac:dyDescent="0.3">
      <c r="A5" s="114" t="s">
        <v>195</v>
      </c>
      <c r="B5" s="115"/>
      <c r="C5" s="115"/>
      <c r="D5" s="115"/>
      <c r="E5" s="115"/>
      <c r="F5" s="116"/>
    </row>
    <row r="6" spans="1:6" ht="22.5" thickBot="1" x14ac:dyDescent="0.3">
      <c r="A6" s="96" t="s">
        <v>0</v>
      </c>
      <c r="B6" s="97"/>
      <c r="C6" s="97"/>
      <c r="D6" s="47">
        <f>A7+A8+A9</f>
        <v>8</v>
      </c>
      <c r="E6" s="48"/>
      <c r="F6" s="38"/>
    </row>
    <row r="7" spans="1:6" ht="21.75" x14ac:dyDescent="0.25">
      <c r="A7" s="39">
        <v>2</v>
      </c>
      <c r="B7" s="40" t="s">
        <v>1</v>
      </c>
      <c r="C7" s="98" t="s">
        <v>37</v>
      </c>
      <c r="D7" s="98"/>
      <c r="E7" s="98"/>
      <c r="F7" s="99"/>
    </row>
    <row r="8" spans="1:6" ht="21.75" x14ac:dyDescent="0.25">
      <c r="A8" s="41">
        <v>6</v>
      </c>
      <c r="B8" s="42" t="s">
        <v>1</v>
      </c>
      <c r="C8" s="61" t="s">
        <v>38</v>
      </c>
      <c r="D8" s="61"/>
      <c r="E8" s="61"/>
      <c r="F8" s="62"/>
    </row>
    <row r="9" spans="1:6" ht="15.75" thickBot="1" x14ac:dyDescent="0.3"/>
    <row r="10" spans="1:6" ht="22.5" thickBot="1" x14ac:dyDescent="0.3">
      <c r="A10" s="114" t="s">
        <v>196</v>
      </c>
      <c r="B10" s="115"/>
      <c r="C10" s="115"/>
      <c r="D10" s="115"/>
      <c r="E10" s="115"/>
      <c r="F10" s="116"/>
    </row>
    <row r="11" spans="1:6" ht="22.5" thickBot="1" x14ac:dyDescent="0.3">
      <c r="A11" s="96" t="s">
        <v>0</v>
      </c>
      <c r="B11" s="97"/>
      <c r="C11" s="97"/>
      <c r="D11" s="36">
        <f>A12+A13+A14</f>
        <v>6</v>
      </c>
      <c r="E11" s="48"/>
      <c r="F11" s="38"/>
    </row>
    <row r="12" spans="1:6" ht="21.75" x14ac:dyDescent="0.25">
      <c r="A12" s="39">
        <v>1</v>
      </c>
      <c r="B12" s="40" t="s">
        <v>1</v>
      </c>
      <c r="C12" s="98" t="s">
        <v>197</v>
      </c>
      <c r="D12" s="98"/>
      <c r="E12" s="98"/>
      <c r="F12" s="99"/>
    </row>
    <row r="13" spans="1:6" ht="21.75" x14ac:dyDescent="0.25">
      <c r="A13" s="41">
        <v>5</v>
      </c>
      <c r="B13" s="42" t="s">
        <v>1</v>
      </c>
      <c r="C13" s="61" t="s">
        <v>39</v>
      </c>
      <c r="D13" s="61"/>
      <c r="E13" s="61"/>
      <c r="F13" s="62"/>
    </row>
    <row r="14" spans="1:6" ht="15.75" thickBot="1" x14ac:dyDescent="0.3"/>
    <row r="15" spans="1:6" ht="22.5" thickBot="1" x14ac:dyDescent="0.3">
      <c r="A15" s="114" t="s">
        <v>198</v>
      </c>
      <c r="B15" s="115"/>
      <c r="C15" s="115"/>
      <c r="D15" s="115"/>
      <c r="E15" s="115"/>
      <c r="F15" s="116"/>
    </row>
    <row r="16" spans="1:6" ht="22.5" thickBot="1" x14ac:dyDescent="0.3">
      <c r="A16" s="96" t="s">
        <v>0</v>
      </c>
      <c r="B16" s="97"/>
      <c r="C16" s="97"/>
      <c r="D16" s="36">
        <f>A17+A18+A19</f>
        <v>4</v>
      </c>
      <c r="E16" s="37"/>
      <c r="F16" s="38"/>
    </row>
    <row r="17" spans="1:6" ht="21.75" x14ac:dyDescent="0.25">
      <c r="A17" s="39">
        <v>1</v>
      </c>
      <c r="B17" s="40" t="s">
        <v>1</v>
      </c>
      <c r="C17" s="98" t="s">
        <v>60</v>
      </c>
      <c r="D17" s="98"/>
      <c r="E17" s="98"/>
      <c r="F17" s="99"/>
    </row>
    <row r="18" spans="1:6" ht="21.75" x14ac:dyDescent="0.25">
      <c r="A18" s="41">
        <v>1</v>
      </c>
      <c r="B18" s="42" t="s">
        <v>1</v>
      </c>
      <c r="C18" s="61" t="s">
        <v>190</v>
      </c>
      <c r="D18" s="61"/>
      <c r="E18" s="61"/>
      <c r="F18" s="62"/>
    </row>
    <row r="19" spans="1:6" ht="21.75" x14ac:dyDescent="0.25">
      <c r="A19" s="41">
        <v>2</v>
      </c>
      <c r="B19" s="42" t="s">
        <v>1</v>
      </c>
      <c r="C19" s="61" t="s">
        <v>62</v>
      </c>
      <c r="D19" s="61"/>
      <c r="E19" s="61"/>
      <c r="F19" s="62"/>
    </row>
    <row r="20" spans="1:6" ht="15.75" thickBot="1" x14ac:dyDescent="0.3"/>
    <row r="21" spans="1:6" ht="22.5" thickBot="1" x14ac:dyDescent="0.3">
      <c r="A21" s="114" t="s">
        <v>199</v>
      </c>
      <c r="B21" s="115"/>
      <c r="C21" s="115"/>
      <c r="D21" s="115"/>
      <c r="E21" s="115"/>
      <c r="F21" s="116"/>
    </row>
    <row r="22" spans="1:6" ht="22.5" thickBot="1" x14ac:dyDescent="0.3">
      <c r="A22" s="96" t="s">
        <v>0</v>
      </c>
      <c r="B22" s="97"/>
      <c r="C22" s="97"/>
      <c r="D22" s="36" t="e">
        <f>A23+A24+A25</f>
        <v>#VALUE!</v>
      </c>
      <c r="E22" s="37"/>
      <c r="F22" s="38"/>
    </row>
    <row r="23" spans="1:6" ht="21.75" x14ac:dyDescent="0.25">
      <c r="A23" s="41">
        <v>1</v>
      </c>
      <c r="B23" s="42" t="s">
        <v>1</v>
      </c>
      <c r="C23" s="61" t="s">
        <v>200</v>
      </c>
      <c r="D23" s="61"/>
      <c r="E23" s="61"/>
      <c r="F23" s="62"/>
    </row>
    <row r="24" spans="1:6" ht="15.75" thickBot="1" x14ac:dyDescent="0.3"/>
    <row r="25" spans="1:6" ht="22.5" thickBot="1" x14ac:dyDescent="0.3">
      <c r="A25" s="114" t="s">
        <v>201</v>
      </c>
      <c r="B25" s="115"/>
      <c r="C25" s="115"/>
      <c r="D25" s="115"/>
      <c r="E25" s="115"/>
      <c r="F25" s="116"/>
    </row>
    <row r="26" spans="1:6" ht="22.5" thickBot="1" x14ac:dyDescent="0.3">
      <c r="A26" s="96" t="s">
        <v>0</v>
      </c>
      <c r="B26" s="97"/>
      <c r="C26" s="97"/>
      <c r="D26" s="36">
        <f>A27+A28+A29+A30+A31+A32+A33</f>
        <v>2</v>
      </c>
      <c r="E26" s="37"/>
      <c r="F26" s="38"/>
    </row>
    <row r="27" spans="1:6" ht="21.75" x14ac:dyDescent="0.25">
      <c r="A27" s="8">
        <v>1</v>
      </c>
      <c r="B27" s="9" t="s">
        <v>1</v>
      </c>
      <c r="C27" s="58" t="s">
        <v>28</v>
      </c>
      <c r="D27" s="58"/>
      <c r="E27" s="58"/>
      <c r="F27" s="63"/>
    </row>
    <row r="28" spans="1:6" ht="21.75" x14ac:dyDescent="0.25">
      <c r="A28" s="8">
        <v>1</v>
      </c>
      <c r="B28" s="9" t="s">
        <v>1</v>
      </c>
      <c r="C28" s="58" t="s">
        <v>2</v>
      </c>
      <c r="D28" s="59"/>
      <c r="E28" s="59"/>
      <c r="F28" s="60"/>
    </row>
  </sheetData>
  <mergeCells count="23">
    <mergeCell ref="C7:F7"/>
    <mergeCell ref="A1:F1"/>
    <mergeCell ref="A2:C2"/>
    <mergeCell ref="C3:F3"/>
    <mergeCell ref="A5:F5"/>
    <mergeCell ref="A6:C6"/>
    <mergeCell ref="A22:C22"/>
    <mergeCell ref="C8:F8"/>
    <mergeCell ref="A10:F10"/>
    <mergeCell ref="A11:C11"/>
    <mergeCell ref="C12:F12"/>
    <mergeCell ref="C13:F13"/>
    <mergeCell ref="A15:F15"/>
    <mergeCell ref="A16:C16"/>
    <mergeCell ref="C17:F17"/>
    <mergeCell ref="C18:F18"/>
    <mergeCell ref="C19:F19"/>
    <mergeCell ref="A21:F21"/>
    <mergeCell ref="C23:F23"/>
    <mergeCell ref="A25:F25"/>
    <mergeCell ref="A26:C26"/>
    <mergeCell ref="C27:F27"/>
    <mergeCell ref="C28:F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CE4F-8A5B-4EAD-9177-2EA75785BD38}">
  <dimension ref="A1:F23"/>
  <sheetViews>
    <sheetView workbookViewId="0">
      <selection activeCell="A20" sqref="A20:F23"/>
    </sheetView>
  </sheetViews>
  <sheetFormatPr defaultRowHeight="15" x14ac:dyDescent="0.25"/>
  <sheetData>
    <row r="1" spans="1:6" ht="22.5" thickBot="1" x14ac:dyDescent="0.3">
      <c r="A1" s="82" t="s">
        <v>202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 t="e">
        <f>A3+A4+A5+A6</f>
        <v>#VALUE!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59</v>
      </c>
      <c r="D3" s="58"/>
      <c r="E3" s="58"/>
      <c r="F3" s="63"/>
    </row>
    <row r="4" spans="1:6" ht="15.75" thickBot="1" x14ac:dyDescent="0.3"/>
    <row r="5" spans="1:6" ht="22.5" thickBot="1" x14ac:dyDescent="0.3">
      <c r="A5" s="114" t="s">
        <v>203</v>
      </c>
      <c r="B5" s="115"/>
      <c r="C5" s="115"/>
      <c r="D5" s="115"/>
      <c r="E5" s="115"/>
      <c r="F5" s="116"/>
    </row>
    <row r="6" spans="1:6" ht="22.5" thickBot="1" x14ac:dyDescent="0.3">
      <c r="A6" s="96" t="s">
        <v>0</v>
      </c>
      <c r="B6" s="97"/>
      <c r="C6" s="117"/>
      <c r="D6" s="49" t="e">
        <f>A7+A8+A9+A10+A11+A12+A13+AG15</f>
        <v>#VALUE!</v>
      </c>
      <c r="E6" s="48"/>
      <c r="F6" s="38"/>
    </row>
    <row r="7" spans="1:6" ht="21.75" x14ac:dyDescent="0.25">
      <c r="A7" s="41">
        <v>2</v>
      </c>
      <c r="B7" s="42" t="s">
        <v>1</v>
      </c>
      <c r="C7" s="61" t="s">
        <v>37</v>
      </c>
      <c r="D7" s="61"/>
      <c r="E7" s="61"/>
      <c r="F7" s="62"/>
    </row>
    <row r="8" spans="1:6" ht="21.75" x14ac:dyDescent="0.25">
      <c r="A8" s="41">
        <v>3</v>
      </c>
      <c r="B8" s="42" t="s">
        <v>1</v>
      </c>
      <c r="C8" s="61" t="s">
        <v>38</v>
      </c>
      <c r="D8" s="61"/>
      <c r="E8" s="61"/>
      <c r="F8" s="62"/>
    </row>
    <row r="9" spans="1:6" ht="15.75" thickBot="1" x14ac:dyDescent="0.3"/>
    <row r="10" spans="1:6" ht="22.5" thickBot="1" x14ac:dyDescent="0.3">
      <c r="A10" s="114" t="s">
        <v>204</v>
      </c>
      <c r="B10" s="115"/>
      <c r="C10" s="115"/>
      <c r="D10" s="115"/>
      <c r="E10" s="115"/>
      <c r="F10" s="116"/>
    </row>
    <row r="11" spans="1:6" ht="22.5" thickBot="1" x14ac:dyDescent="0.3">
      <c r="A11" s="96" t="s">
        <v>0</v>
      </c>
      <c r="B11" s="97"/>
      <c r="C11" s="117"/>
      <c r="D11" s="50">
        <f>A12+A13+A14</f>
        <v>4</v>
      </c>
      <c r="E11" s="48"/>
      <c r="F11" s="38"/>
    </row>
    <row r="12" spans="1:6" ht="21.75" x14ac:dyDescent="0.25">
      <c r="A12" s="41">
        <v>1</v>
      </c>
      <c r="B12" s="42" t="s">
        <v>1</v>
      </c>
      <c r="C12" s="61" t="s">
        <v>121</v>
      </c>
      <c r="D12" s="61"/>
      <c r="E12" s="61"/>
      <c r="F12" s="62"/>
    </row>
    <row r="13" spans="1:6" ht="21.75" x14ac:dyDescent="0.25">
      <c r="A13" s="41">
        <v>3</v>
      </c>
      <c r="B13" s="42" t="s">
        <v>1</v>
      </c>
      <c r="C13" s="61" t="s">
        <v>39</v>
      </c>
      <c r="D13" s="61"/>
      <c r="E13" s="61"/>
      <c r="F13" s="62"/>
    </row>
    <row r="14" spans="1:6" ht="15.75" thickBot="1" x14ac:dyDescent="0.3"/>
    <row r="15" spans="1:6" ht="22.5" thickBot="1" x14ac:dyDescent="0.3">
      <c r="A15" s="114" t="s">
        <v>205</v>
      </c>
      <c r="B15" s="115"/>
      <c r="C15" s="115"/>
      <c r="D15" s="115"/>
      <c r="E15" s="115"/>
      <c r="F15" s="116"/>
    </row>
    <row r="16" spans="1:6" ht="22.5" thickBot="1" x14ac:dyDescent="0.3">
      <c r="A16" s="96" t="s">
        <v>0</v>
      </c>
      <c r="B16" s="97"/>
      <c r="C16" s="117"/>
      <c r="D16" s="50" t="e">
        <f>A17+A18+A19+A20+A21+A22+A23</f>
        <v>#VALUE!</v>
      </c>
      <c r="E16" s="37"/>
      <c r="F16" s="38"/>
    </row>
    <row r="17" spans="1:6" ht="21.75" x14ac:dyDescent="0.25">
      <c r="A17" s="41">
        <v>1</v>
      </c>
      <c r="B17" s="42" t="s">
        <v>1</v>
      </c>
      <c r="C17" s="61" t="s">
        <v>178</v>
      </c>
      <c r="D17" s="61"/>
      <c r="E17" s="61"/>
      <c r="F17" s="62"/>
    </row>
    <row r="18" spans="1:6" ht="21.75" x14ac:dyDescent="0.25">
      <c r="A18" s="41">
        <v>2</v>
      </c>
      <c r="B18" s="42" t="s">
        <v>1</v>
      </c>
      <c r="C18" s="61" t="s">
        <v>62</v>
      </c>
      <c r="D18" s="61"/>
      <c r="E18" s="61"/>
      <c r="F18" s="62"/>
    </row>
    <row r="19" spans="1:6" ht="15.75" thickBot="1" x14ac:dyDescent="0.3"/>
    <row r="20" spans="1:6" ht="22.5" thickBot="1" x14ac:dyDescent="0.3">
      <c r="A20" s="114" t="s">
        <v>206</v>
      </c>
      <c r="B20" s="115"/>
      <c r="C20" s="115"/>
      <c r="D20" s="115"/>
      <c r="E20" s="115"/>
      <c r="F20" s="116"/>
    </row>
    <row r="21" spans="1:6" ht="22.5" thickBot="1" x14ac:dyDescent="0.3">
      <c r="A21" s="96" t="s">
        <v>0</v>
      </c>
      <c r="B21" s="97"/>
      <c r="C21" s="97"/>
      <c r="D21" s="36">
        <f>A22+A23+A24+A25+A26+A27+A28</f>
        <v>2</v>
      </c>
      <c r="E21" s="37"/>
      <c r="F21" s="38"/>
    </row>
    <row r="22" spans="1:6" ht="21.75" x14ac:dyDescent="0.25">
      <c r="A22" s="8">
        <v>1</v>
      </c>
      <c r="B22" s="9" t="s">
        <v>1</v>
      </c>
      <c r="C22" s="10" t="s">
        <v>28</v>
      </c>
      <c r="D22" s="10"/>
      <c r="E22" s="10"/>
      <c r="F22" s="11"/>
    </row>
    <row r="23" spans="1:6" ht="21.75" x14ac:dyDescent="0.25">
      <c r="A23" s="41">
        <v>1</v>
      </c>
      <c r="B23" s="42" t="s">
        <v>1</v>
      </c>
      <c r="C23" s="61" t="s">
        <v>3</v>
      </c>
      <c r="D23" s="61"/>
      <c r="E23" s="61"/>
      <c r="F23" s="62"/>
    </row>
  </sheetData>
  <mergeCells count="18">
    <mergeCell ref="C7:F7"/>
    <mergeCell ref="A1:F1"/>
    <mergeCell ref="A2:C2"/>
    <mergeCell ref="C3:F3"/>
    <mergeCell ref="A5:F5"/>
    <mergeCell ref="A6:C6"/>
    <mergeCell ref="C23:F23"/>
    <mergeCell ref="C8:F8"/>
    <mergeCell ref="A10:F10"/>
    <mergeCell ref="A11:C11"/>
    <mergeCell ref="C12:F12"/>
    <mergeCell ref="C13:F13"/>
    <mergeCell ref="A15:F15"/>
    <mergeCell ref="A16:C16"/>
    <mergeCell ref="C17:F17"/>
    <mergeCell ref="C18:F18"/>
    <mergeCell ref="A20:F20"/>
    <mergeCell ref="A21:C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4C55-8EEE-48B8-9836-55B9A6CACC4C}">
  <dimension ref="A1:F33"/>
  <sheetViews>
    <sheetView workbookViewId="0">
      <selection activeCell="K25" sqref="K25"/>
    </sheetView>
  </sheetViews>
  <sheetFormatPr defaultRowHeight="15" x14ac:dyDescent="0.25"/>
  <sheetData>
    <row r="1" spans="1:6" ht="22.5" thickBot="1" x14ac:dyDescent="0.3">
      <c r="A1" s="100" t="s">
        <v>207</v>
      </c>
      <c r="B1" s="101"/>
      <c r="C1" s="101"/>
      <c r="D1" s="101"/>
      <c r="E1" s="101"/>
      <c r="F1" s="102"/>
    </row>
    <row r="2" spans="1:6" ht="22.5" thickBot="1" x14ac:dyDescent="0.3">
      <c r="A2" s="96" t="s">
        <v>0</v>
      </c>
      <c r="B2" s="97"/>
      <c r="C2" s="97"/>
      <c r="D2" s="36" t="e">
        <f>A3+A4+A5+A6+A7+A8+A9+A10+AW11</f>
        <v>#VALUE!</v>
      </c>
      <c r="E2" s="51"/>
      <c r="F2" s="38"/>
    </row>
    <row r="3" spans="1:6" ht="21.75" x14ac:dyDescent="0.25">
      <c r="A3" s="39">
        <v>1</v>
      </c>
      <c r="B3" s="40" t="s">
        <v>1</v>
      </c>
      <c r="C3" s="98" t="s">
        <v>133</v>
      </c>
      <c r="D3" s="98"/>
      <c r="E3" s="98"/>
      <c r="F3" s="99"/>
    </row>
    <row r="4" spans="1:6" ht="21.75" x14ac:dyDescent="0.25">
      <c r="A4" s="41">
        <v>1</v>
      </c>
      <c r="B4" s="42" t="s">
        <v>1</v>
      </c>
      <c r="C4" s="61" t="s">
        <v>37</v>
      </c>
      <c r="D4" s="61"/>
      <c r="E4" s="61"/>
      <c r="F4" s="62"/>
    </row>
    <row r="5" spans="1:6" ht="21.75" x14ac:dyDescent="0.25">
      <c r="A5" s="41">
        <v>4</v>
      </c>
      <c r="B5" s="42" t="s">
        <v>1</v>
      </c>
      <c r="C5" s="61" t="s">
        <v>38</v>
      </c>
      <c r="D5" s="61"/>
      <c r="E5" s="61"/>
      <c r="F5" s="62"/>
    </row>
    <row r="6" spans="1:6" ht="21.75" x14ac:dyDescent="0.25">
      <c r="A6" s="8">
        <v>1</v>
      </c>
      <c r="B6" s="9" t="s">
        <v>1</v>
      </c>
      <c r="C6" s="58" t="s">
        <v>36</v>
      </c>
      <c r="D6" s="58"/>
      <c r="E6" s="58"/>
      <c r="F6" s="63"/>
    </row>
    <row r="7" spans="1:6" ht="15.75" thickBot="1" x14ac:dyDescent="0.3"/>
    <row r="8" spans="1:6" ht="22.5" thickBot="1" x14ac:dyDescent="0.3">
      <c r="A8" s="100" t="s">
        <v>208</v>
      </c>
      <c r="B8" s="101"/>
      <c r="C8" s="101"/>
      <c r="D8" s="101"/>
      <c r="E8" s="101"/>
      <c r="F8" s="102"/>
    </row>
    <row r="9" spans="1:6" ht="22.5" thickBot="1" x14ac:dyDescent="0.3">
      <c r="A9" s="96" t="s">
        <v>0</v>
      </c>
      <c r="B9" s="97"/>
      <c r="C9" s="97"/>
      <c r="D9" s="36" t="e">
        <f>A10+A11+A12+A13+A14+A15+A16+A17+AW18</f>
        <v>#VALUE!</v>
      </c>
      <c r="E9" s="51"/>
      <c r="F9" s="38"/>
    </row>
    <row r="10" spans="1:6" ht="21.75" x14ac:dyDescent="0.25">
      <c r="A10" s="39">
        <v>1</v>
      </c>
      <c r="B10" s="40" t="s">
        <v>1</v>
      </c>
      <c r="C10" s="98" t="s">
        <v>120</v>
      </c>
      <c r="D10" s="98"/>
      <c r="E10" s="98"/>
      <c r="F10" s="99"/>
    </row>
    <row r="11" spans="1:6" ht="21.75" x14ac:dyDescent="0.25">
      <c r="A11" s="41">
        <v>1</v>
      </c>
      <c r="B11" s="42" t="s">
        <v>1</v>
      </c>
      <c r="C11" s="61" t="s">
        <v>121</v>
      </c>
      <c r="D11" s="61"/>
      <c r="E11" s="61"/>
      <c r="F11" s="62"/>
    </row>
    <row r="12" spans="1:6" ht="21.75" x14ac:dyDescent="0.25">
      <c r="A12" s="41">
        <v>4</v>
      </c>
      <c r="B12" s="42" t="s">
        <v>1</v>
      </c>
      <c r="C12" s="61" t="s">
        <v>39</v>
      </c>
      <c r="D12" s="61"/>
      <c r="E12" s="61"/>
      <c r="F12" s="62"/>
    </row>
    <row r="13" spans="1:6" ht="21.75" x14ac:dyDescent="0.25">
      <c r="A13" s="41">
        <v>1</v>
      </c>
      <c r="B13" s="42" t="s">
        <v>1</v>
      </c>
      <c r="C13" s="58" t="s">
        <v>36</v>
      </c>
      <c r="D13" s="58"/>
      <c r="E13" s="58"/>
      <c r="F13" s="63"/>
    </row>
    <row r="14" spans="1:6" ht="21.75" x14ac:dyDescent="0.25">
      <c r="A14" s="41">
        <v>1</v>
      </c>
      <c r="B14" s="42" t="s">
        <v>1</v>
      </c>
      <c r="C14" s="61" t="s">
        <v>159</v>
      </c>
      <c r="D14" s="61"/>
      <c r="E14" s="61"/>
      <c r="F14" s="62"/>
    </row>
    <row r="15" spans="1:6" ht="21.75" x14ac:dyDescent="0.25">
      <c r="A15" s="41">
        <v>1</v>
      </c>
      <c r="B15" s="42" t="s">
        <v>1</v>
      </c>
      <c r="C15" s="61" t="s">
        <v>209</v>
      </c>
      <c r="D15" s="61"/>
      <c r="E15" s="61"/>
      <c r="F15" s="62"/>
    </row>
    <row r="16" spans="1:6" ht="15.75" thickBot="1" x14ac:dyDescent="0.3"/>
    <row r="17" spans="1:6" ht="22.5" thickBot="1" x14ac:dyDescent="0.3">
      <c r="A17" s="100" t="s">
        <v>210</v>
      </c>
      <c r="B17" s="101"/>
      <c r="C17" s="101"/>
      <c r="D17" s="101"/>
      <c r="E17" s="101"/>
      <c r="F17" s="102"/>
    </row>
    <row r="18" spans="1:6" ht="22.5" thickBot="1" x14ac:dyDescent="0.3">
      <c r="A18" s="96" t="s">
        <v>0</v>
      </c>
      <c r="B18" s="97"/>
      <c r="C18" s="97"/>
      <c r="D18" s="36" t="e">
        <f>A19+A20+A21+A22+A23+A24+A25+A26+AW27</f>
        <v>#VALUE!</v>
      </c>
      <c r="E18" s="51"/>
      <c r="F18" s="38"/>
    </row>
    <row r="19" spans="1:6" ht="21.75" x14ac:dyDescent="0.25">
      <c r="A19" s="39">
        <v>1</v>
      </c>
      <c r="B19" s="40" t="s">
        <v>1</v>
      </c>
      <c r="C19" s="98" t="s">
        <v>60</v>
      </c>
      <c r="D19" s="98"/>
      <c r="E19" s="98"/>
      <c r="F19" s="99"/>
    </row>
    <row r="20" spans="1:6" ht="21.75" x14ac:dyDescent="0.25">
      <c r="A20" s="41">
        <v>2</v>
      </c>
      <c r="B20" s="42" t="s">
        <v>1</v>
      </c>
      <c r="C20" s="61" t="s">
        <v>62</v>
      </c>
      <c r="D20" s="61"/>
      <c r="E20" s="61"/>
      <c r="F20" s="62"/>
    </row>
    <row r="21" spans="1:6" ht="21.75" x14ac:dyDescent="0.25">
      <c r="A21" s="41">
        <v>1</v>
      </c>
      <c r="B21" s="42" t="s">
        <v>1</v>
      </c>
      <c r="C21" s="61" t="s">
        <v>163</v>
      </c>
      <c r="D21" s="61"/>
      <c r="E21" s="61"/>
      <c r="F21" s="62"/>
    </row>
    <row r="22" spans="1:6" ht="21.75" x14ac:dyDescent="0.25">
      <c r="A22" s="8">
        <v>1</v>
      </c>
      <c r="B22" s="9" t="s">
        <v>1</v>
      </c>
      <c r="C22" s="58" t="s">
        <v>95</v>
      </c>
      <c r="D22" s="58"/>
      <c r="E22" s="58"/>
      <c r="F22" s="63"/>
    </row>
    <row r="23" spans="1:6" ht="15.75" thickBot="1" x14ac:dyDescent="0.3"/>
    <row r="24" spans="1:6" ht="22.5" thickBot="1" x14ac:dyDescent="0.3">
      <c r="A24" s="100" t="s">
        <v>211</v>
      </c>
      <c r="B24" s="101"/>
      <c r="C24" s="101"/>
      <c r="D24" s="101"/>
      <c r="E24" s="101"/>
      <c r="F24" s="102"/>
    </row>
    <row r="25" spans="1:6" ht="22.5" thickBot="1" x14ac:dyDescent="0.3">
      <c r="A25" s="96" t="s">
        <v>0</v>
      </c>
      <c r="B25" s="97"/>
      <c r="C25" s="97"/>
      <c r="D25" s="36" t="e">
        <f>A26+A27+A28+A29+A30+A31+A32+A33+AW34</f>
        <v>#VALUE!</v>
      </c>
      <c r="E25" s="37"/>
      <c r="F25" s="38"/>
    </row>
    <row r="26" spans="1:6" ht="21.75" x14ac:dyDescent="0.25">
      <c r="A26" s="39">
        <v>1</v>
      </c>
      <c r="B26" s="40" t="s">
        <v>1</v>
      </c>
      <c r="C26" s="98" t="s">
        <v>106</v>
      </c>
      <c r="D26" s="98"/>
      <c r="E26" s="98"/>
      <c r="F26" s="99"/>
    </row>
    <row r="27" spans="1:6" ht="21.75" x14ac:dyDescent="0.25">
      <c r="A27" s="41">
        <v>1</v>
      </c>
      <c r="B27" s="42" t="s">
        <v>1</v>
      </c>
      <c r="C27" s="61" t="s">
        <v>102</v>
      </c>
      <c r="D27" s="61"/>
      <c r="E27" s="61"/>
      <c r="F27" s="62"/>
    </row>
    <row r="28" spans="1:6" ht="21.75" x14ac:dyDescent="0.25">
      <c r="A28" s="41">
        <v>1</v>
      </c>
      <c r="B28" s="42" t="s">
        <v>1</v>
      </c>
      <c r="C28" s="61" t="s">
        <v>163</v>
      </c>
      <c r="D28" s="61"/>
      <c r="E28" s="61"/>
      <c r="F28" s="62"/>
    </row>
    <row r="29" spans="1:6" ht="15.75" thickBot="1" x14ac:dyDescent="0.3"/>
    <row r="30" spans="1:6" ht="22.5" thickBot="1" x14ac:dyDescent="0.3">
      <c r="A30" s="100" t="s">
        <v>212</v>
      </c>
      <c r="B30" s="101"/>
      <c r="C30" s="101"/>
      <c r="D30" s="101"/>
      <c r="E30" s="101"/>
      <c r="F30" s="102"/>
    </row>
    <row r="31" spans="1:6" ht="22.5" thickBot="1" x14ac:dyDescent="0.3">
      <c r="A31" s="96" t="s">
        <v>0</v>
      </c>
      <c r="B31" s="97"/>
      <c r="C31" s="97"/>
      <c r="D31" s="36">
        <f>A32+A33+A34</f>
        <v>2</v>
      </c>
      <c r="E31" s="37"/>
      <c r="F31" s="38"/>
    </row>
    <row r="32" spans="1:6" ht="21.75" x14ac:dyDescent="0.25">
      <c r="A32" s="41">
        <v>1</v>
      </c>
      <c r="B32" s="42" t="s">
        <v>1</v>
      </c>
      <c r="C32" s="61" t="s">
        <v>169</v>
      </c>
      <c r="D32" s="61"/>
      <c r="E32" s="61"/>
      <c r="F32" s="62"/>
    </row>
    <row r="33" spans="1:6" ht="21.75" x14ac:dyDescent="0.25">
      <c r="A33" s="41">
        <v>1</v>
      </c>
      <c r="B33" s="42" t="s">
        <v>1</v>
      </c>
      <c r="C33" s="61" t="s">
        <v>30</v>
      </c>
      <c r="D33" s="61"/>
      <c r="E33" s="61"/>
      <c r="F33" s="62"/>
    </row>
  </sheetData>
  <mergeCells count="29">
    <mergeCell ref="C13:F13"/>
    <mergeCell ref="A1:F1"/>
    <mergeCell ref="A2:C2"/>
    <mergeCell ref="C3:F3"/>
    <mergeCell ref="C4:F4"/>
    <mergeCell ref="C5:F5"/>
    <mergeCell ref="C6:F6"/>
    <mergeCell ref="A8:F8"/>
    <mergeCell ref="A9:C9"/>
    <mergeCell ref="C10:F10"/>
    <mergeCell ref="C11:F11"/>
    <mergeCell ref="C12:F12"/>
    <mergeCell ref="C27:F27"/>
    <mergeCell ref="C14:F14"/>
    <mergeCell ref="C15:F15"/>
    <mergeCell ref="A17:F17"/>
    <mergeCell ref="A18:C18"/>
    <mergeCell ref="C19:F19"/>
    <mergeCell ref="C20:F20"/>
    <mergeCell ref="C21:F21"/>
    <mergeCell ref="C22:F22"/>
    <mergeCell ref="A24:F24"/>
    <mergeCell ref="A25:C25"/>
    <mergeCell ref="C26:F26"/>
    <mergeCell ref="C28:F28"/>
    <mergeCell ref="A30:F30"/>
    <mergeCell ref="A31:C31"/>
    <mergeCell ref="C32:F32"/>
    <mergeCell ref="C33:F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C98B-EF3C-452E-8EA3-EC2932222F96}">
  <dimension ref="A1:F35"/>
  <sheetViews>
    <sheetView workbookViewId="0">
      <selection activeCell="Q13" sqref="Q13"/>
    </sheetView>
  </sheetViews>
  <sheetFormatPr defaultRowHeight="15" x14ac:dyDescent="0.25"/>
  <sheetData>
    <row r="1" spans="1:6" ht="21.75" x14ac:dyDescent="0.25">
      <c r="A1" s="103" t="s">
        <v>213</v>
      </c>
      <c r="B1" s="104"/>
      <c r="C1" s="104"/>
      <c r="D1" s="104"/>
      <c r="E1" s="104"/>
      <c r="F1" s="105"/>
    </row>
    <row r="2" spans="1:6" ht="21.75" x14ac:dyDescent="0.25">
      <c r="A2" s="120" t="s">
        <v>0</v>
      </c>
      <c r="B2" s="121"/>
      <c r="C2" s="121"/>
      <c r="D2" s="52" t="e">
        <f>A3+A4+A5+A6</f>
        <v>#VALUE!</v>
      </c>
      <c r="E2" s="53"/>
      <c r="F2" s="54"/>
    </row>
    <row r="3" spans="1:6" ht="21.75" x14ac:dyDescent="0.25">
      <c r="A3" s="8">
        <v>1</v>
      </c>
      <c r="B3" s="9" t="s">
        <v>1</v>
      </c>
      <c r="C3" s="58" t="s">
        <v>120</v>
      </c>
      <c r="D3" s="58"/>
      <c r="E3" s="58"/>
      <c r="F3" s="63"/>
    </row>
    <row r="4" spans="1:6" ht="15.75" thickBot="1" x14ac:dyDescent="0.3"/>
    <row r="5" spans="1:6" ht="22.5" thickBot="1" x14ac:dyDescent="0.3">
      <c r="A5" s="100" t="s">
        <v>214</v>
      </c>
      <c r="B5" s="101"/>
      <c r="C5" s="101"/>
      <c r="D5" s="101"/>
      <c r="E5" s="101"/>
      <c r="F5" s="102"/>
    </row>
    <row r="6" spans="1:6" ht="22.5" thickBot="1" x14ac:dyDescent="0.3">
      <c r="A6" s="96" t="s">
        <v>0</v>
      </c>
      <c r="B6" s="97"/>
      <c r="C6" s="97"/>
      <c r="D6" s="36" t="e">
        <f>A7+A8+A9+A10+A11+A12+A13</f>
        <v>#VALUE!</v>
      </c>
      <c r="E6" s="51"/>
      <c r="F6" s="38"/>
    </row>
    <row r="7" spans="1:6" ht="21.75" x14ac:dyDescent="0.25">
      <c r="A7" s="39">
        <v>1</v>
      </c>
      <c r="B7" s="40" t="s">
        <v>1</v>
      </c>
      <c r="C7" s="98" t="s">
        <v>37</v>
      </c>
      <c r="D7" s="98"/>
      <c r="E7" s="98"/>
      <c r="F7" s="99"/>
    </row>
    <row r="8" spans="1:6" ht="21.75" x14ac:dyDescent="0.25">
      <c r="A8" s="41">
        <v>4</v>
      </c>
      <c r="B8" s="42" t="s">
        <v>1</v>
      </c>
      <c r="C8" s="61" t="s">
        <v>38</v>
      </c>
      <c r="D8" s="61"/>
      <c r="E8" s="61"/>
      <c r="F8" s="62"/>
    </row>
    <row r="9" spans="1:6" ht="21.75" x14ac:dyDescent="0.25">
      <c r="A9" s="8">
        <v>1</v>
      </c>
      <c r="B9" s="9" t="s">
        <v>1</v>
      </c>
      <c r="C9" s="58" t="s">
        <v>36</v>
      </c>
      <c r="D9" s="58"/>
      <c r="E9" s="58"/>
      <c r="F9" s="63"/>
    </row>
    <row r="10" spans="1:6" ht="15.75" thickBot="1" x14ac:dyDescent="0.3"/>
    <row r="11" spans="1:6" ht="22.5" thickBot="1" x14ac:dyDescent="0.3">
      <c r="A11" s="100" t="s">
        <v>215</v>
      </c>
      <c r="B11" s="101"/>
      <c r="C11" s="101"/>
      <c r="D11" s="101"/>
      <c r="E11" s="101"/>
      <c r="F11" s="102"/>
    </row>
    <row r="12" spans="1:6" ht="22.5" thickBot="1" x14ac:dyDescent="0.3">
      <c r="A12" s="96" t="s">
        <v>0</v>
      </c>
      <c r="B12" s="97"/>
      <c r="C12" s="97"/>
      <c r="D12" s="36" t="e">
        <f>A13+A14+A15+A16+A17+A18+A19</f>
        <v>#VALUE!</v>
      </c>
      <c r="E12" s="51"/>
      <c r="F12" s="38"/>
    </row>
    <row r="13" spans="1:6" ht="21.75" x14ac:dyDescent="0.25">
      <c r="A13" s="39">
        <v>1</v>
      </c>
      <c r="B13" s="40" t="s">
        <v>1</v>
      </c>
      <c r="C13" s="98" t="s">
        <v>121</v>
      </c>
      <c r="D13" s="98"/>
      <c r="E13" s="98"/>
      <c r="F13" s="99"/>
    </row>
    <row r="14" spans="1:6" ht="21.75" x14ac:dyDescent="0.25">
      <c r="A14" s="41">
        <v>4</v>
      </c>
      <c r="B14" s="42" t="s">
        <v>1</v>
      </c>
      <c r="C14" s="61" t="s">
        <v>39</v>
      </c>
      <c r="D14" s="59"/>
      <c r="E14" s="59"/>
      <c r="F14" s="60"/>
    </row>
    <row r="15" spans="1:6" ht="21.75" x14ac:dyDescent="0.25">
      <c r="A15" s="41">
        <v>1</v>
      </c>
      <c r="B15" s="42" t="s">
        <v>1</v>
      </c>
      <c r="C15" s="61" t="s">
        <v>36</v>
      </c>
      <c r="D15" s="59"/>
      <c r="E15" s="59"/>
      <c r="F15" s="60"/>
    </row>
    <row r="16" spans="1:6" ht="21.75" x14ac:dyDescent="0.25">
      <c r="A16" s="41">
        <v>1</v>
      </c>
      <c r="B16" s="42" t="s">
        <v>1</v>
      </c>
      <c r="C16" s="61" t="s">
        <v>117</v>
      </c>
      <c r="D16" s="59"/>
      <c r="E16" s="59"/>
      <c r="F16" s="60"/>
    </row>
    <row r="17" spans="1:6" ht="21.75" x14ac:dyDescent="0.25">
      <c r="A17" s="41">
        <v>1</v>
      </c>
      <c r="B17" s="42" t="s">
        <v>1</v>
      </c>
      <c r="C17" s="61" t="s">
        <v>209</v>
      </c>
      <c r="D17" s="59"/>
      <c r="E17" s="59"/>
      <c r="F17" s="60"/>
    </row>
    <row r="18" spans="1:6" ht="15.75" thickBot="1" x14ac:dyDescent="0.3"/>
    <row r="19" spans="1:6" ht="22.5" thickBot="1" x14ac:dyDescent="0.3">
      <c r="A19" s="100" t="s">
        <v>216</v>
      </c>
      <c r="B19" s="101"/>
      <c r="C19" s="101"/>
      <c r="D19" s="101"/>
      <c r="E19" s="101"/>
      <c r="F19" s="102"/>
    </row>
    <row r="20" spans="1:6" ht="22.5" thickBot="1" x14ac:dyDescent="0.3">
      <c r="A20" s="96" t="s">
        <v>0</v>
      </c>
      <c r="B20" s="97"/>
      <c r="C20" s="97"/>
      <c r="D20" s="36" t="e">
        <f>A21+A22+A23+A24+A25+A26+A27</f>
        <v>#VALUE!</v>
      </c>
      <c r="E20" s="55"/>
      <c r="F20" s="56"/>
    </row>
    <row r="21" spans="1:6" ht="21.75" x14ac:dyDescent="0.25">
      <c r="A21" s="39">
        <v>1</v>
      </c>
      <c r="B21" s="40" t="s">
        <v>1</v>
      </c>
      <c r="C21" s="98" t="s">
        <v>60</v>
      </c>
      <c r="D21" s="98"/>
      <c r="E21" s="98"/>
      <c r="F21" s="99"/>
    </row>
    <row r="22" spans="1:6" ht="21.75" x14ac:dyDescent="0.25">
      <c r="A22" s="41">
        <v>1</v>
      </c>
      <c r="B22" s="42" t="s">
        <v>1</v>
      </c>
      <c r="C22" s="61" t="s">
        <v>62</v>
      </c>
      <c r="D22" s="61"/>
      <c r="E22" s="61"/>
      <c r="F22" s="62"/>
    </row>
    <row r="23" spans="1:6" ht="21.75" x14ac:dyDescent="0.25">
      <c r="A23" s="41">
        <v>1</v>
      </c>
      <c r="B23" s="42" t="s">
        <v>1</v>
      </c>
      <c r="C23" s="61" t="s">
        <v>163</v>
      </c>
      <c r="D23" s="61"/>
      <c r="E23" s="61"/>
      <c r="F23" s="62"/>
    </row>
    <row r="24" spans="1:6" ht="21.75" x14ac:dyDescent="0.25">
      <c r="A24" s="8">
        <v>1</v>
      </c>
      <c r="B24" s="9" t="s">
        <v>1</v>
      </c>
      <c r="C24" s="58" t="s">
        <v>95</v>
      </c>
      <c r="D24" s="58"/>
      <c r="E24" s="58"/>
      <c r="F24" s="63"/>
    </row>
    <row r="25" spans="1:6" ht="15.75" thickBot="1" x14ac:dyDescent="0.3"/>
    <row r="26" spans="1:6" ht="22.5" thickBot="1" x14ac:dyDescent="0.3">
      <c r="A26" s="100" t="s">
        <v>217</v>
      </c>
      <c r="B26" s="101"/>
      <c r="C26" s="101"/>
      <c r="D26" s="101"/>
      <c r="E26" s="101"/>
      <c r="F26" s="102"/>
    </row>
    <row r="27" spans="1:6" ht="22.5" thickBot="1" x14ac:dyDescent="0.3">
      <c r="A27" s="96" t="s">
        <v>0</v>
      </c>
      <c r="B27" s="97"/>
      <c r="C27" s="97"/>
      <c r="D27" s="36" t="e">
        <f>A28+A29+A30+A31+A32+A33+A34</f>
        <v>#VALUE!</v>
      </c>
      <c r="E27" s="37"/>
      <c r="F27" s="38"/>
    </row>
    <row r="28" spans="1:6" ht="21.75" x14ac:dyDescent="0.25">
      <c r="A28" s="39">
        <v>1</v>
      </c>
      <c r="B28" s="40" t="s">
        <v>1</v>
      </c>
      <c r="C28" s="98" t="s">
        <v>100</v>
      </c>
      <c r="D28" s="98"/>
      <c r="E28" s="98"/>
      <c r="F28" s="99"/>
    </row>
    <row r="29" spans="1:6" ht="21.75" x14ac:dyDescent="0.25">
      <c r="A29" s="41">
        <v>1</v>
      </c>
      <c r="B29" s="42" t="s">
        <v>1</v>
      </c>
      <c r="C29" s="61" t="s">
        <v>108</v>
      </c>
      <c r="D29" s="61"/>
      <c r="E29" s="61"/>
      <c r="F29" s="62"/>
    </row>
    <row r="30" spans="1:6" ht="21.75" x14ac:dyDescent="0.25">
      <c r="A30" s="41">
        <v>1</v>
      </c>
      <c r="B30" s="42" t="s">
        <v>1</v>
      </c>
      <c r="C30" s="61" t="s">
        <v>163</v>
      </c>
      <c r="D30" s="61"/>
      <c r="E30" s="61"/>
      <c r="F30" s="62"/>
    </row>
    <row r="31" spans="1:6" ht="15.75" thickBot="1" x14ac:dyDescent="0.3"/>
    <row r="32" spans="1:6" ht="22.5" thickBot="1" x14ac:dyDescent="0.3">
      <c r="A32" s="118" t="s">
        <v>218</v>
      </c>
      <c r="B32" s="119"/>
      <c r="C32" s="119"/>
      <c r="D32" s="101"/>
      <c r="E32" s="101"/>
      <c r="F32" s="102"/>
    </row>
    <row r="33" spans="1:6" ht="22.5" thickBot="1" x14ac:dyDescent="0.3">
      <c r="A33" s="96" t="s">
        <v>0</v>
      </c>
      <c r="B33" s="97"/>
      <c r="C33" s="97"/>
      <c r="D33" s="36">
        <f>A34+A35+A36+A37+A38+A39+A40</f>
        <v>2</v>
      </c>
      <c r="E33" s="37"/>
      <c r="F33" s="38"/>
    </row>
    <row r="34" spans="1:6" ht="21.75" x14ac:dyDescent="0.25">
      <c r="A34" s="41">
        <v>1</v>
      </c>
      <c r="B34" s="42" t="s">
        <v>1</v>
      </c>
      <c r="C34" s="61" t="s">
        <v>169</v>
      </c>
      <c r="D34" s="61"/>
      <c r="E34" s="61"/>
      <c r="F34" s="62"/>
    </row>
    <row r="35" spans="1:6" ht="21.75" x14ac:dyDescent="0.25">
      <c r="A35" s="41">
        <v>1</v>
      </c>
      <c r="B35" s="42" t="s">
        <v>1</v>
      </c>
      <c r="C35" s="61" t="s">
        <v>30</v>
      </c>
      <c r="D35" s="61"/>
      <c r="E35" s="61"/>
      <c r="F35" s="62"/>
    </row>
  </sheetData>
  <mergeCells count="30">
    <mergeCell ref="C7:F7"/>
    <mergeCell ref="A1:F1"/>
    <mergeCell ref="A2:C2"/>
    <mergeCell ref="C3:F3"/>
    <mergeCell ref="A5:F5"/>
    <mergeCell ref="A6:C6"/>
    <mergeCell ref="C21:F21"/>
    <mergeCell ref="C8:F8"/>
    <mergeCell ref="C9:F9"/>
    <mergeCell ref="A11:F11"/>
    <mergeCell ref="A12:C12"/>
    <mergeCell ref="C13:F13"/>
    <mergeCell ref="C14:F14"/>
    <mergeCell ref="C15:F15"/>
    <mergeCell ref="C16:F16"/>
    <mergeCell ref="C17:F17"/>
    <mergeCell ref="A19:F19"/>
    <mergeCell ref="A20:C20"/>
    <mergeCell ref="C35:F35"/>
    <mergeCell ref="C22:F22"/>
    <mergeCell ref="C23:F23"/>
    <mergeCell ref="C24:F24"/>
    <mergeCell ref="A26:F26"/>
    <mergeCell ref="A27:C27"/>
    <mergeCell ref="C28:F28"/>
    <mergeCell ref="C29:F29"/>
    <mergeCell ref="C30:F30"/>
    <mergeCell ref="A32:F32"/>
    <mergeCell ref="A33:C33"/>
    <mergeCell ref="C34:F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B162-8E31-44D3-8644-207186B17DBD}">
  <dimension ref="A1:F13"/>
  <sheetViews>
    <sheetView workbookViewId="0">
      <selection activeCell="R20" sqref="R20"/>
    </sheetView>
  </sheetViews>
  <sheetFormatPr defaultRowHeight="15" x14ac:dyDescent="0.25"/>
  <sheetData>
    <row r="1" spans="1:6" ht="22.5" thickBot="1" x14ac:dyDescent="0.3">
      <c r="A1" s="64" t="s">
        <v>219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f>A3+A4+A5+A6+A7+A8+A9+A10+A11+A12+A13+A14+A15</f>
        <v>24</v>
      </c>
      <c r="E2" s="57"/>
      <c r="F2" s="18"/>
    </row>
    <row r="3" spans="1:6" ht="21.75" x14ac:dyDescent="0.25">
      <c r="A3" s="6">
        <v>1</v>
      </c>
      <c r="B3" s="7" t="s">
        <v>1</v>
      </c>
      <c r="C3" s="69" t="s">
        <v>120</v>
      </c>
      <c r="D3" s="69"/>
      <c r="E3" s="69"/>
      <c r="F3" s="70"/>
    </row>
    <row r="4" spans="1:6" ht="21.75" x14ac:dyDescent="0.25">
      <c r="A4" s="8">
        <v>3</v>
      </c>
      <c r="B4" s="9" t="s">
        <v>1</v>
      </c>
      <c r="C4" s="58" t="s">
        <v>121</v>
      </c>
      <c r="D4" s="58"/>
      <c r="E4" s="58"/>
      <c r="F4" s="63"/>
    </row>
    <row r="5" spans="1:6" ht="21.75" x14ac:dyDescent="0.25">
      <c r="A5" s="8">
        <v>12</v>
      </c>
      <c r="B5" s="9" t="s">
        <v>1</v>
      </c>
      <c r="C5" s="58" t="s">
        <v>39</v>
      </c>
      <c r="D5" s="58"/>
      <c r="E5" s="58"/>
      <c r="F5" s="63"/>
    </row>
    <row r="6" spans="1:6" ht="21.75" x14ac:dyDescent="0.25">
      <c r="A6" s="8">
        <v>1</v>
      </c>
      <c r="B6" s="9" t="s">
        <v>1</v>
      </c>
      <c r="C6" s="58" t="s">
        <v>12</v>
      </c>
      <c r="D6" s="58"/>
      <c r="E6" s="58"/>
      <c r="F6" s="63"/>
    </row>
    <row r="7" spans="1:6" ht="21.75" x14ac:dyDescent="0.25">
      <c r="A7" s="8">
        <v>1</v>
      </c>
      <c r="B7" s="9" t="s">
        <v>1</v>
      </c>
      <c r="C7" s="58" t="s">
        <v>117</v>
      </c>
      <c r="D7" s="59"/>
      <c r="E7" s="59"/>
      <c r="F7" s="60"/>
    </row>
    <row r="8" spans="1:6" ht="21.75" x14ac:dyDescent="0.25">
      <c r="A8" s="8">
        <v>1</v>
      </c>
      <c r="B8" s="9" t="s">
        <v>1</v>
      </c>
      <c r="C8" s="61" t="s">
        <v>30</v>
      </c>
      <c r="D8" s="61"/>
      <c r="E8" s="61"/>
      <c r="F8" s="62"/>
    </row>
    <row r="9" spans="1:6" ht="21.75" x14ac:dyDescent="0.25">
      <c r="A9" s="8">
        <v>1</v>
      </c>
      <c r="B9" s="9" t="s">
        <v>1</v>
      </c>
      <c r="C9" s="10" t="s">
        <v>6</v>
      </c>
      <c r="D9" s="10"/>
      <c r="E9" s="10"/>
      <c r="F9" s="11"/>
    </row>
    <row r="10" spans="1:6" ht="21.75" x14ac:dyDescent="0.25">
      <c r="A10" s="8">
        <v>1</v>
      </c>
      <c r="B10" s="9" t="s">
        <v>1</v>
      </c>
      <c r="C10" s="58" t="s">
        <v>14</v>
      </c>
      <c r="D10" s="58"/>
      <c r="E10" s="58"/>
      <c r="F10" s="63"/>
    </row>
    <row r="11" spans="1:6" ht="21.75" x14ac:dyDescent="0.25">
      <c r="A11" s="8">
        <v>1</v>
      </c>
      <c r="B11" s="9" t="s">
        <v>1</v>
      </c>
      <c r="C11" s="58" t="s">
        <v>188</v>
      </c>
      <c r="D11" s="58"/>
      <c r="E11" s="58"/>
      <c r="F11" s="63"/>
    </row>
    <row r="12" spans="1:6" ht="21.75" x14ac:dyDescent="0.25">
      <c r="A12" s="8">
        <v>1</v>
      </c>
      <c r="B12" s="9" t="s">
        <v>1</v>
      </c>
      <c r="C12" s="58" t="s">
        <v>52</v>
      </c>
      <c r="D12" s="59"/>
      <c r="E12" s="59"/>
      <c r="F12" s="60"/>
    </row>
    <row r="13" spans="1:6" ht="21.75" x14ac:dyDescent="0.25">
      <c r="A13" s="8">
        <v>1</v>
      </c>
      <c r="B13" s="9" t="s">
        <v>1</v>
      </c>
      <c r="C13" s="58" t="s">
        <v>2</v>
      </c>
      <c r="D13" s="58"/>
      <c r="E13" s="58"/>
      <c r="F13" s="63"/>
    </row>
  </sheetData>
  <mergeCells count="12">
    <mergeCell ref="C13:F13"/>
    <mergeCell ref="A1:F1"/>
    <mergeCell ref="A2:C2"/>
    <mergeCell ref="C3:F3"/>
    <mergeCell ref="C4:F4"/>
    <mergeCell ref="C5:F5"/>
    <mergeCell ref="C6:F6"/>
    <mergeCell ref="C7:F7"/>
    <mergeCell ref="C8:F8"/>
    <mergeCell ref="C10:F10"/>
    <mergeCell ref="C11:F11"/>
    <mergeCell ref="C12:F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BEE4-A388-486D-87B8-BDB3EFE62F4F}">
  <dimension ref="A1:F28"/>
  <sheetViews>
    <sheetView tabSelected="1" workbookViewId="0">
      <selection activeCell="T10" activeCellId="1" sqref="V24 T10"/>
    </sheetView>
  </sheetViews>
  <sheetFormatPr defaultRowHeight="15" x14ac:dyDescent="0.25"/>
  <sheetData>
    <row r="1" spans="1:6" ht="22.5" thickBot="1" x14ac:dyDescent="0.3">
      <c r="A1" s="82" t="s">
        <v>220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59</v>
      </c>
      <c r="D3" s="69"/>
      <c r="E3" s="69"/>
      <c r="F3" s="70"/>
    </row>
    <row r="4" spans="1:6" ht="15.75" thickBot="1" x14ac:dyDescent="0.3"/>
    <row r="5" spans="1:6" ht="22.5" thickBot="1" x14ac:dyDescent="0.3">
      <c r="A5" s="64" t="s">
        <v>221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68"/>
      <c r="D6" s="1">
        <f>A7+A8+A9</f>
        <v>5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4</v>
      </c>
      <c r="B8" s="9" t="s">
        <v>1</v>
      </c>
      <c r="C8" s="58" t="s">
        <v>222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223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4</v>
      </c>
      <c r="E11" s="122"/>
      <c r="F11" s="18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3</v>
      </c>
      <c r="B13" s="9" t="s">
        <v>1</v>
      </c>
      <c r="C13" s="58" t="s">
        <v>224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225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v>1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62</v>
      </c>
      <c r="D17" s="69"/>
      <c r="E17" s="69"/>
      <c r="F17" s="70"/>
    </row>
    <row r="18" spans="1:6" ht="21.75" x14ac:dyDescent="0.25">
      <c r="A18" s="8"/>
      <c r="B18" s="9"/>
      <c r="C18" s="58"/>
      <c r="D18" s="58"/>
      <c r="E18" s="58"/>
      <c r="F18" s="63"/>
    </row>
    <row r="19" spans="1:6" ht="15.75" thickBot="1" x14ac:dyDescent="0.3"/>
    <row r="20" spans="1:6" ht="22.5" thickBot="1" x14ac:dyDescent="0.3">
      <c r="A20" s="64" t="s">
        <v>226</v>
      </c>
      <c r="B20" s="65"/>
      <c r="C20" s="65"/>
      <c r="D20" s="65"/>
      <c r="E20" s="65"/>
      <c r="F20" s="66"/>
    </row>
    <row r="21" spans="1:6" ht="22.5" thickBot="1" x14ac:dyDescent="0.3">
      <c r="A21" s="67" t="s">
        <v>0</v>
      </c>
      <c r="B21" s="68"/>
      <c r="C21" s="68"/>
      <c r="D21" s="1">
        <v>2</v>
      </c>
      <c r="E21" s="17"/>
      <c r="F21" s="18"/>
    </row>
    <row r="22" spans="1:6" ht="21.75" x14ac:dyDescent="0.25">
      <c r="A22" s="6">
        <v>1</v>
      </c>
      <c r="B22" s="7" t="s">
        <v>1</v>
      </c>
      <c r="C22" s="69" t="s">
        <v>227</v>
      </c>
      <c r="D22" s="69"/>
      <c r="E22" s="69"/>
      <c r="F22" s="70"/>
    </row>
    <row r="23" spans="1:6" ht="21.75" x14ac:dyDescent="0.25">
      <c r="A23" s="8">
        <v>1</v>
      </c>
      <c r="B23" s="9" t="s">
        <v>1</v>
      </c>
      <c r="C23" s="58" t="s">
        <v>102</v>
      </c>
      <c r="D23" s="58"/>
      <c r="E23" s="58"/>
      <c r="F23" s="63"/>
    </row>
    <row r="24" spans="1:6" ht="15.75" thickBot="1" x14ac:dyDescent="0.3"/>
    <row r="25" spans="1:6" ht="22.5" thickBot="1" x14ac:dyDescent="0.3">
      <c r="A25" s="64" t="s">
        <v>228</v>
      </c>
      <c r="B25" s="65"/>
      <c r="C25" s="65"/>
      <c r="D25" s="65"/>
      <c r="E25" s="65"/>
      <c r="F25" s="66"/>
    </row>
    <row r="26" spans="1:6" ht="22.5" thickBot="1" x14ac:dyDescent="0.3">
      <c r="A26" s="67" t="s">
        <v>0</v>
      </c>
      <c r="B26" s="68"/>
      <c r="C26" s="68"/>
      <c r="D26" s="1">
        <f>A27+A28+A29+A30+A31+A32</f>
        <v>2</v>
      </c>
      <c r="E26" s="17"/>
      <c r="F26" s="18"/>
    </row>
    <row r="27" spans="1:6" ht="21.75" x14ac:dyDescent="0.25">
      <c r="A27" s="8">
        <v>1</v>
      </c>
      <c r="B27" s="9" t="s">
        <v>1</v>
      </c>
      <c r="C27" s="58" t="s">
        <v>229</v>
      </c>
      <c r="D27" s="58"/>
      <c r="E27" s="58"/>
      <c r="F27" s="63"/>
    </row>
    <row r="28" spans="1:6" ht="21.75" x14ac:dyDescent="0.25">
      <c r="A28" s="8">
        <v>1</v>
      </c>
      <c r="B28" s="9" t="s">
        <v>1</v>
      </c>
      <c r="C28" s="58" t="s">
        <v>3</v>
      </c>
      <c r="D28" s="58"/>
      <c r="E28" s="58"/>
      <c r="F28" s="63"/>
    </row>
  </sheetData>
  <mergeCells count="23">
    <mergeCell ref="C23:F23"/>
    <mergeCell ref="A25:F25"/>
    <mergeCell ref="A26:C26"/>
    <mergeCell ref="C27:F27"/>
    <mergeCell ref="C28:F28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8B56-D506-4B9C-956A-4CD71BF3813D}">
  <dimension ref="A1:F26"/>
  <sheetViews>
    <sheetView workbookViewId="0">
      <selection activeCell="E15" sqref="E15"/>
    </sheetView>
  </sheetViews>
  <sheetFormatPr defaultRowHeight="15" x14ac:dyDescent="0.25"/>
  <sheetData>
    <row r="1" spans="1:6" ht="22.5" thickBot="1" x14ac:dyDescent="0.3">
      <c r="A1" s="82" t="s">
        <v>230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59</v>
      </c>
      <c r="D3" s="69"/>
      <c r="E3" s="69"/>
      <c r="F3" s="70"/>
    </row>
    <row r="4" spans="1:6" ht="15.75" thickBot="1" x14ac:dyDescent="0.3"/>
    <row r="5" spans="1:6" ht="22.5" thickBot="1" x14ac:dyDescent="0.3">
      <c r="A5" s="64" t="s">
        <v>231</v>
      </c>
      <c r="B5" s="65"/>
      <c r="C5" s="65"/>
      <c r="D5" s="65"/>
      <c r="E5" s="65"/>
      <c r="F5" s="66"/>
    </row>
    <row r="6" spans="1:6" ht="22.5" thickBot="1" x14ac:dyDescent="0.3">
      <c r="A6" s="123" t="s">
        <v>0</v>
      </c>
      <c r="B6" s="124"/>
      <c r="C6" s="124"/>
      <c r="D6" s="125">
        <f>A7+A8+A9</f>
        <v>4</v>
      </c>
      <c r="E6" s="9"/>
      <c r="F6" s="126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3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233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27">
        <v>3</v>
      </c>
      <c r="E11" s="122"/>
      <c r="F11" s="18"/>
    </row>
    <row r="12" spans="1:6" ht="21.75" x14ac:dyDescent="0.25">
      <c r="A12" s="6">
        <v>3</v>
      </c>
      <c r="B12" s="7" t="s">
        <v>1</v>
      </c>
      <c r="C12" s="69" t="s">
        <v>234</v>
      </c>
      <c r="D12" s="69"/>
      <c r="E12" s="69"/>
      <c r="F12" s="70"/>
    </row>
    <row r="13" spans="1:6" ht="15.75" thickBot="1" x14ac:dyDescent="0.3"/>
    <row r="14" spans="1:6" ht="22.5" thickBot="1" x14ac:dyDescent="0.3">
      <c r="A14" s="64" t="s">
        <v>235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1</v>
      </c>
      <c r="E15" s="17"/>
      <c r="F15" s="18"/>
    </row>
    <row r="16" spans="1:6" ht="21.75" x14ac:dyDescent="0.25">
      <c r="A16" s="6">
        <v>1</v>
      </c>
      <c r="B16" s="7" t="s">
        <v>1</v>
      </c>
      <c r="C16" s="69" t="s">
        <v>62</v>
      </c>
      <c r="D16" s="69"/>
      <c r="E16" s="69"/>
      <c r="F16" s="70"/>
    </row>
    <row r="17" spans="1:6" ht="15.75" thickBot="1" x14ac:dyDescent="0.3"/>
    <row r="18" spans="1:6" ht="22.5" thickBot="1" x14ac:dyDescent="0.3">
      <c r="A18" s="64" t="s">
        <v>236</v>
      </c>
      <c r="B18" s="65"/>
      <c r="C18" s="65"/>
      <c r="D18" s="128"/>
      <c r="E18" s="128"/>
      <c r="F18" s="129"/>
    </row>
    <row r="19" spans="1:6" ht="22.5" thickBot="1" x14ac:dyDescent="0.3">
      <c r="A19" s="67" t="s">
        <v>0</v>
      </c>
      <c r="B19" s="68"/>
      <c r="C19" s="68"/>
      <c r="D19" s="1">
        <v>2</v>
      </c>
      <c r="E19" s="17"/>
      <c r="F19" s="18"/>
    </row>
    <row r="20" spans="1:6" ht="21.75" x14ac:dyDescent="0.25">
      <c r="A20" s="6">
        <v>1</v>
      </c>
      <c r="B20" s="7" t="s">
        <v>1</v>
      </c>
      <c r="C20" s="69" t="s">
        <v>100</v>
      </c>
      <c r="D20" s="69"/>
      <c r="E20" s="69"/>
      <c r="F20" s="70"/>
    </row>
    <row r="21" spans="1:6" ht="21.75" x14ac:dyDescent="0.25">
      <c r="A21" s="8">
        <v>1</v>
      </c>
      <c r="B21" s="9" t="s">
        <v>1</v>
      </c>
      <c r="C21" s="58" t="s">
        <v>108</v>
      </c>
      <c r="D21" s="58"/>
      <c r="E21" s="58"/>
      <c r="F21" s="63"/>
    </row>
    <row r="22" spans="1:6" ht="15.75" thickBot="1" x14ac:dyDescent="0.3"/>
    <row r="23" spans="1:6" ht="22.5" thickBot="1" x14ac:dyDescent="0.3">
      <c r="A23" s="130" t="s">
        <v>237</v>
      </c>
      <c r="B23" s="131"/>
      <c r="C23" s="131"/>
      <c r="D23" s="131"/>
      <c r="E23" s="83"/>
      <c r="F23" s="84"/>
    </row>
    <row r="24" spans="1:6" ht="22.5" thickBot="1" x14ac:dyDescent="0.3">
      <c r="A24" s="67" t="s">
        <v>0</v>
      </c>
      <c r="B24" s="68"/>
      <c r="C24" s="68"/>
      <c r="D24" s="1">
        <f>A25+A26+A27+A28+A29+A30+A31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58" t="s">
        <v>229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1">
    <mergeCell ref="A24:C24"/>
    <mergeCell ref="C25:F25"/>
    <mergeCell ref="C26:F26"/>
    <mergeCell ref="C16:F16"/>
    <mergeCell ref="A18:F18"/>
    <mergeCell ref="A19:C19"/>
    <mergeCell ref="C20:F20"/>
    <mergeCell ref="C21:F21"/>
    <mergeCell ref="A23:F23"/>
    <mergeCell ref="C8:F8"/>
    <mergeCell ref="A10:F10"/>
    <mergeCell ref="A11:C11"/>
    <mergeCell ref="C12:F12"/>
    <mergeCell ref="A14:F14"/>
    <mergeCell ref="A15:C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2A92-D11D-4FC8-A4F7-845264C76373}">
  <dimension ref="A1:F27"/>
  <sheetViews>
    <sheetView workbookViewId="0">
      <selection activeCell="D25" sqref="D25"/>
    </sheetView>
  </sheetViews>
  <sheetFormatPr defaultRowHeight="15" x14ac:dyDescent="0.25"/>
  <sheetData>
    <row r="1" spans="1:6" ht="22.5" thickBot="1" x14ac:dyDescent="0.3">
      <c r="A1" s="82" t="s">
        <v>238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132"/>
      <c r="D2" s="133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133</v>
      </c>
      <c r="D3" s="58"/>
      <c r="E3" s="58"/>
      <c r="F3" s="63"/>
    </row>
    <row r="4" spans="1:6" ht="15.75" thickBot="1" x14ac:dyDescent="0.3"/>
    <row r="5" spans="1:6" ht="22.5" thickBot="1" x14ac:dyDescent="0.3">
      <c r="A5" s="64" t="s">
        <v>239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68"/>
      <c r="D6" s="1">
        <v>2</v>
      </c>
      <c r="E6" s="17"/>
      <c r="F6" s="18"/>
    </row>
    <row r="7" spans="1:6" ht="21.75" x14ac:dyDescent="0.25">
      <c r="A7" s="8">
        <v>1</v>
      </c>
      <c r="B7" s="9" t="s">
        <v>1</v>
      </c>
      <c r="C7" s="58" t="s">
        <v>229</v>
      </c>
      <c r="D7" s="58"/>
      <c r="E7" s="58"/>
      <c r="F7" s="63"/>
    </row>
    <row r="8" spans="1:6" ht="21.75" x14ac:dyDescent="0.25">
      <c r="A8" s="8">
        <v>1</v>
      </c>
      <c r="B8" s="9" t="s">
        <v>1</v>
      </c>
      <c r="C8" s="58" t="s">
        <v>3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240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2</v>
      </c>
      <c r="E11" s="17"/>
      <c r="F11" s="18"/>
    </row>
    <row r="12" spans="1:6" ht="21.75" x14ac:dyDescent="0.25">
      <c r="A12" s="6">
        <v>1</v>
      </c>
      <c r="B12" s="7" t="s">
        <v>1</v>
      </c>
      <c r="C12" s="69" t="s">
        <v>106</v>
      </c>
      <c r="D12" s="69"/>
      <c r="E12" s="69"/>
      <c r="F12" s="70"/>
    </row>
    <row r="13" spans="1:6" ht="21.75" x14ac:dyDescent="0.25">
      <c r="A13" s="8">
        <v>1</v>
      </c>
      <c r="B13" s="9" t="s">
        <v>1</v>
      </c>
      <c r="C13" s="58" t="s">
        <v>241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242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v>2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152</v>
      </c>
      <c r="D17" s="69"/>
      <c r="E17" s="69"/>
      <c r="F17" s="70"/>
    </row>
    <row r="18" spans="1:6" ht="21.75" x14ac:dyDescent="0.25">
      <c r="A18" s="8">
        <v>1</v>
      </c>
      <c r="B18" s="9" t="s">
        <v>1</v>
      </c>
      <c r="C18" s="58" t="s">
        <v>62</v>
      </c>
      <c r="D18" s="58"/>
      <c r="E18" s="58"/>
      <c r="F18" s="63"/>
    </row>
    <row r="19" spans="1:6" ht="15.75" thickBot="1" x14ac:dyDescent="0.3"/>
    <row r="20" spans="1:6" ht="22.5" thickBot="1" x14ac:dyDescent="0.3">
      <c r="A20" s="82" t="s">
        <v>243</v>
      </c>
      <c r="B20" s="83"/>
      <c r="C20" s="83"/>
      <c r="D20" s="83"/>
      <c r="E20" s="83"/>
      <c r="F20" s="84"/>
    </row>
    <row r="21" spans="1:6" ht="22.5" thickBot="1" x14ac:dyDescent="0.3">
      <c r="A21" s="67" t="s">
        <v>0</v>
      </c>
      <c r="B21" s="68"/>
      <c r="C21" s="68"/>
      <c r="D21" s="1">
        <v>3</v>
      </c>
      <c r="E21" s="122"/>
      <c r="F21" s="18"/>
    </row>
    <row r="22" spans="1:6" ht="21.75" x14ac:dyDescent="0.25">
      <c r="A22" s="6">
        <v>3</v>
      </c>
      <c r="B22" s="7" t="s">
        <v>1</v>
      </c>
      <c r="C22" s="69" t="s">
        <v>244</v>
      </c>
      <c r="D22" s="69"/>
      <c r="E22" s="69"/>
      <c r="F22" s="70"/>
    </row>
    <row r="23" spans="1:6" ht="15.75" thickBot="1" x14ac:dyDescent="0.3"/>
    <row r="24" spans="1:6" ht="22.5" thickBot="1" x14ac:dyDescent="0.3">
      <c r="A24" s="82" t="s">
        <v>245</v>
      </c>
      <c r="B24" s="83"/>
      <c r="C24" s="83"/>
      <c r="D24" s="83"/>
      <c r="E24" s="83"/>
      <c r="F24" s="84"/>
    </row>
    <row r="25" spans="1:6" ht="22.5" thickBot="1" x14ac:dyDescent="0.3">
      <c r="A25" s="67" t="s">
        <v>0</v>
      </c>
      <c r="B25" s="68"/>
      <c r="C25" s="68"/>
      <c r="D25" s="1">
        <f>A26+A27+A28</f>
        <v>3</v>
      </c>
      <c r="E25" s="122"/>
      <c r="F25" s="18"/>
    </row>
    <row r="26" spans="1:6" ht="21.75" x14ac:dyDescent="0.25">
      <c r="A26" s="6">
        <v>1</v>
      </c>
      <c r="B26" s="7" t="s">
        <v>1</v>
      </c>
      <c r="C26" s="69" t="s">
        <v>37</v>
      </c>
      <c r="D26" s="69"/>
      <c r="E26" s="69"/>
      <c r="F26" s="70"/>
    </row>
    <row r="27" spans="1:6" ht="21.75" x14ac:dyDescent="0.25">
      <c r="A27" s="8">
        <v>2</v>
      </c>
      <c r="B27" s="9" t="s">
        <v>1</v>
      </c>
      <c r="C27" s="58" t="s">
        <v>232</v>
      </c>
      <c r="D27" s="58"/>
      <c r="E27" s="58"/>
      <c r="F27" s="63"/>
    </row>
  </sheetData>
  <mergeCells count="22">
    <mergeCell ref="A24:F24"/>
    <mergeCell ref="A25:C25"/>
    <mergeCell ref="C26:F26"/>
    <mergeCell ref="C27:F27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386A-1090-495D-91BF-52EEF7CF6F1A}">
  <dimension ref="A1:F28"/>
  <sheetViews>
    <sheetView workbookViewId="0">
      <selection activeCell="D26" sqref="D26"/>
    </sheetView>
  </sheetViews>
  <sheetFormatPr defaultRowHeight="15" x14ac:dyDescent="0.25"/>
  <sheetData>
    <row r="1" spans="1:6" ht="22.5" thickBot="1" x14ac:dyDescent="0.3">
      <c r="A1" s="64" t="s">
        <v>247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194</v>
      </c>
      <c r="D3" s="58"/>
      <c r="E3" s="58"/>
      <c r="F3" s="63"/>
    </row>
    <row r="4" spans="1:6" ht="15.75" thickBot="1" x14ac:dyDescent="0.3"/>
    <row r="5" spans="1:6" ht="22.5" thickBot="1" x14ac:dyDescent="0.3">
      <c r="A5" s="64" t="s">
        <v>248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68"/>
      <c r="D6" s="134">
        <f>A7+A8+A9</f>
        <v>4</v>
      </c>
      <c r="E6" s="10"/>
      <c r="F6" s="126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3</v>
      </c>
      <c r="B8" s="9" t="s">
        <v>1</v>
      </c>
      <c r="C8" s="58" t="s">
        <v>246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249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34">
        <v>4</v>
      </c>
      <c r="E11" s="10"/>
      <c r="F11" s="126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3</v>
      </c>
      <c r="B13" s="9" t="s">
        <v>1</v>
      </c>
      <c r="C13" s="58" t="s">
        <v>244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250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v>1</v>
      </c>
      <c r="E16" s="17"/>
      <c r="F16" s="18"/>
    </row>
    <row r="17" spans="1:6" ht="21.75" x14ac:dyDescent="0.25">
      <c r="A17" s="8">
        <v>1</v>
      </c>
      <c r="B17" s="9" t="s">
        <v>1</v>
      </c>
      <c r="C17" s="58" t="s">
        <v>153</v>
      </c>
      <c r="D17" s="58"/>
      <c r="E17" s="58"/>
      <c r="F17" s="63"/>
    </row>
    <row r="18" spans="1:6" ht="21.75" x14ac:dyDescent="0.25">
      <c r="A18" s="8"/>
      <c r="B18" s="9"/>
      <c r="C18" s="58"/>
      <c r="D18" s="58"/>
      <c r="E18" s="58"/>
      <c r="F18" s="63"/>
    </row>
    <row r="19" spans="1:6" ht="15.75" thickBot="1" x14ac:dyDescent="0.3"/>
    <row r="20" spans="1:6" ht="22.5" thickBot="1" x14ac:dyDescent="0.3">
      <c r="A20" s="64" t="s">
        <v>251</v>
      </c>
      <c r="B20" s="65"/>
      <c r="C20" s="65"/>
      <c r="D20" s="65"/>
      <c r="E20" s="65"/>
      <c r="F20" s="66"/>
    </row>
    <row r="21" spans="1:6" ht="22.5" thickBot="1" x14ac:dyDescent="0.3">
      <c r="A21" s="67" t="s">
        <v>0</v>
      </c>
      <c r="B21" s="68"/>
      <c r="C21" s="68"/>
      <c r="D21" s="1">
        <v>1</v>
      </c>
      <c r="E21" s="17"/>
      <c r="F21" s="18"/>
    </row>
    <row r="22" spans="1:6" ht="21.75" x14ac:dyDescent="0.25">
      <c r="A22" s="6">
        <v>1</v>
      </c>
      <c r="B22" s="7" t="s">
        <v>1</v>
      </c>
      <c r="C22" s="69" t="s">
        <v>102</v>
      </c>
      <c r="D22" s="69"/>
      <c r="E22" s="69"/>
      <c r="F22" s="70"/>
    </row>
    <row r="24" spans="1:6" ht="15.75" thickBot="1" x14ac:dyDescent="0.3"/>
    <row r="25" spans="1:6" ht="22.5" thickBot="1" x14ac:dyDescent="0.3">
      <c r="A25" s="82" t="s">
        <v>252</v>
      </c>
      <c r="B25" s="83"/>
      <c r="C25" s="83"/>
      <c r="D25" s="83"/>
      <c r="E25" s="83"/>
      <c r="F25" s="84"/>
    </row>
    <row r="26" spans="1:6" ht="22.5" thickBot="1" x14ac:dyDescent="0.3">
      <c r="A26" s="67" t="s">
        <v>0</v>
      </c>
      <c r="B26" s="68"/>
      <c r="C26" s="68"/>
      <c r="D26" s="1">
        <f>A27+A28+A29+A30+A31+A32+A33</f>
        <v>2</v>
      </c>
      <c r="E26" s="17"/>
      <c r="F26" s="18"/>
    </row>
    <row r="27" spans="1:6" ht="21.75" x14ac:dyDescent="0.25">
      <c r="A27" s="8">
        <v>1</v>
      </c>
      <c r="B27" s="9" t="s">
        <v>1</v>
      </c>
      <c r="C27" s="69" t="s">
        <v>229</v>
      </c>
      <c r="D27" s="69"/>
      <c r="E27" s="69"/>
      <c r="F27" s="70"/>
    </row>
    <row r="28" spans="1:6" ht="21.75" x14ac:dyDescent="0.25">
      <c r="A28" s="8">
        <v>1</v>
      </c>
      <c r="B28" s="9" t="s">
        <v>1</v>
      </c>
      <c r="C28" s="58" t="s">
        <v>3</v>
      </c>
      <c r="D28" s="58"/>
      <c r="E28" s="58"/>
      <c r="F28" s="63"/>
    </row>
  </sheetData>
  <mergeCells count="22">
    <mergeCell ref="A25:F25"/>
    <mergeCell ref="A26:C26"/>
    <mergeCell ref="C27:F27"/>
    <mergeCell ref="C28:F28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391E-EC40-429D-8037-54899D992455}">
  <dimension ref="A1:F26"/>
  <sheetViews>
    <sheetView workbookViewId="0">
      <selection activeCell="D25" sqref="D25"/>
    </sheetView>
  </sheetViews>
  <sheetFormatPr defaultRowHeight="15" x14ac:dyDescent="0.25"/>
  <sheetData>
    <row r="1" spans="1:6" ht="22.5" thickBot="1" x14ac:dyDescent="0.3">
      <c r="A1" s="82" t="s">
        <v>253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133</v>
      </c>
      <c r="D3" s="58"/>
      <c r="E3" s="58"/>
      <c r="F3" s="63"/>
    </row>
    <row r="4" spans="1:6" ht="15.75" thickBot="1" x14ac:dyDescent="0.3"/>
    <row r="5" spans="1:6" ht="22.5" thickBot="1" x14ac:dyDescent="0.3">
      <c r="A5" s="82" t="s">
        <v>254</v>
      </c>
      <c r="B5" s="83"/>
      <c r="C5" s="83"/>
      <c r="D5" s="83"/>
      <c r="E5" s="83"/>
      <c r="F5" s="84"/>
    </row>
    <row r="6" spans="1:6" ht="22.5" thickBot="1" x14ac:dyDescent="0.3">
      <c r="A6" s="67" t="s">
        <v>0</v>
      </c>
      <c r="B6" s="68"/>
      <c r="C6" s="68"/>
      <c r="D6" s="1">
        <v>2</v>
      </c>
      <c r="E6" s="17"/>
      <c r="F6" s="18"/>
    </row>
    <row r="7" spans="1:6" ht="21.75" x14ac:dyDescent="0.25">
      <c r="A7" s="6">
        <v>1</v>
      </c>
      <c r="B7" s="7" t="s">
        <v>1</v>
      </c>
      <c r="C7" s="69" t="s">
        <v>229</v>
      </c>
      <c r="D7" s="69"/>
      <c r="E7" s="69"/>
      <c r="F7" s="70"/>
    </row>
    <row r="8" spans="1:6" ht="21.75" x14ac:dyDescent="0.25">
      <c r="A8" s="8">
        <v>1</v>
      </c>
      <c r="B8" s="9" t="s">
        <v>1</v>
      </c>
      <c r="C8" s="58" t="s">
        <v>3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255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1</v>
      </c>
      <c r="E11" s="17"/>
      <c r="F11" s="18"/>
    </row>
    <row r="12" spans="1:6" ht="21.75" x14ac:dyDescent="0.25">
      <c r="A12" s="6">
        <v>1</v>
      </c>
      <c r="B12" s="7" t="s">
        <v>1</v>
      </c>
      <c r="C12" s="69" t="s">
        <v>108</v>
      </c>
      <c r="D12" s="69"/>
      <c r="E12" s="69"/>
      <c r="F12" s="70"/>
    </row>
    <row r="13" spans="1:6" ht="15.75" thickBot="1" x14ac:dyDescent="0.3"/>
    <row r="14" spans="1:6" ht="22.5" thickBot="1" x14ac:dyDescent="0.3">
      <c r="A14" s="64" t="s">
        <v>256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2</v>
      </c>
      <c r="E15" s="17"/>
      <c r="F15" s="18"/>
    </row>
    <row r="16" spans="1:6" ht="21.75" x14ac:dyDescent="0.25">
      <c r="A16" s="6">
        <v>1</v>
      </c>
      <c r="B16" s="7" t="s">
        <v>1</v>
      </c>
      <c r="C16" s="69" t="s">
        <v>152</v>
      </c>
      <c r="D16" s="69"/>
      <c r="E16" s="69"/>
      <c r="F16" s="70"/>
    </row>
    <row r="17" spans="1:6" ht="21.75" x14ac:dyDescent="0.25">
      <c r="A17" s="8">
        <v>1</v>
      </c>
      <c r="B17" s="9" t="s">
        <v>1</v>
      </c>
      <c r="C17" s="58" t="s">
        <v>62</v>
      </c>
      <c r="D17" s="58"/>
      <c r="E17" s="58"/>
      <c r="F17" s="63"/>
    </row>
    <row r="18" spans="1:6" ht="15.75" thickBot="1" x14ac:dyDescent="0.3"/>
    <row r="19" spans="1:6" ht="22.5" thickBot="1" x14ac:dyDescent="0.3">
      <c r="A19" s="64" t="s">
        <v>257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27">
        <v>4</v>
      </c>
      <c r="E20" s="122"/>
      <c r="F20" s="18"/>
    </row>
    <row r="21" spans="1:6" ht="21.75" x14ac:dyDescent="0.25">
      <c r="A21" s="6">
        <v>1</v>
      </c>
      <c r="B21" s="7" t="s">
        <v>1</v>
      </c>
      <c r="C21" s="69" t="s">
        <v>121</v>
      </c>
      <c r="D21" s="69"/>
      <c r="E21" s="69"/>
      <c r="F21" s="70"/>
    </row>
    <row r="22" spans="1:6" ht="21.75" x14ac:dyDescent="0.25">
      <c r="A22" s="8">
        <v>3</v>
      </c>
      <c r="B22" s="9" t="s">
        <v>1</v>
      </c>
      <c r="C22" s="58" t="s">
        <v>258</v>
      </c>
      <c r="D22" s="58"/>
      <c r="E22" s="58"/>
      <c r="F22" s="63"/>
    </row>
    <row r="23" spans="1:6" ht="15.75" thickBot="1" x14ac:dyDescent="0.3"/>
    <row r="24" spans="1:6" ht="22.5" thickBot="1" x14ac:dyDescent="0.3">
      <c r="A24" s="82" t="s">
        <v>259</v>
      </c>
      <c r="B24" s="83"/>
      <c r="C24" s="83"/>
      <c r="D24" s="83"/>
      <c r="E24" s="83"/>
      <c r="F24" s="84"/>
    </row>
    <row r="25" spans="1:6" ht="22.5" thickBot="1" x14ac:dyDescent="0.3">
      <c r="A25" s="67" t="s">
        <v>0</v>
      </c>
      <c r="B25" s="68"/>
      <c r="C25" s="68"/>
      <c r="D25" s="1">
        <f>A26+A27+A28</f>
        <v>3</v>
      </c>
      <c r="E25" s="122"/>
      <c r="F25" s="18"/>
    </row>
    <row r="26" spans="1:6" ht="21.75" x14ac:dyDescent="0.25">
      <c r="A26" s="6">
        <v>3</v>
      </c>
      <c r="B26" s="7" t="s">
        <v>1</v>
      </c>
      <c r="C26" s="69" t="s">
        <v>246</v>
      </c>
      <c r="D26" s="69"/>
      <c r="E26" s="69"/>
      <c r="F26" s="70"/>
    </row>
  </sheetData>
  <mergeCells count="21">
    <mergeCell ref="A24:F24"/>
    <mergeCell ref="A25:C25"/>
    <mergeCell ref="C26:F26"/>
    <mergeCell ref="C16:F16"/>
    <mergeCell ref="C17:F17"/>
    <mergeCell ref="A19:F19"/>
    <mergeCell ref="A20:C20"/>
    <mergeCell ref="C21:F21"/>
    <mergeCell ref="C22:F22"/>
    <mergeCell ref="C8:F8"/>
    <mergeCell ref="A10:F10"/>
    <mergeCell ref="A11:C11"/>
    <mergeCell ref="C12:F12"/>
    <mergeCell ref="A14:F14"/>
    <mergeCell ref="A15:C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644B-12D6-487A-A8A2-C5D24E020BDB}">
  <dimension ref="A1:F26"/>
  <sheetViews>
    <sheetView workbookViewId="0">
      <selection activeCell="C25" sqref="C25:F25"/>
    </sheetView>
  </sheetViews>
  <sheetFormatPr defaultRowHeight="15" x14ac:dyDescent="0.25"/>
  <sheetData>
    <row r="1" spans="1:6" ht="22.5" thickBot="1" x14ac:dyDescent="0.3">
      <c r="A1" s="82" t="s">
        <v>260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194</v>
      </c>
      <c r="D3" s="58"/>
      <c r="E3" s="58"/>
      <c r="F3" s="63"/>
    </row>
    <row r="4" spans="1:6" ht="15.75" thickBot="1" x14ac:dyDescent="0.3"/>
    <row r="5" spans="1:6" ht="21.75" x14ac:dyDescent="0.25">
      <c r="A5" s="103" t="s">
        <v>261</v>
      </c>
      <c r="B5" s="104"/>
      <c r="C5" s="104"/>
      <c r="D5" s="104"/>
      <c r="E5" s="104"/>
      <c r="F5" s="105"/>
    </row>
    <row r="6" spans="1:6" ht="22.5" thickBot="1" x14ac:dyDescent="0.3">
      <c r="A6" s="106" t="s">
        <v>0</v>
      </c>
      <c r="B6" s="107"/>
      <c r="C6" s="107"/>
      <c r="D6" s="33">
        <f>A7+A8+A9</f>
        <v>5</v>
      </c>
      <c r="E6" s="135"/>
      <c r="F6" s="35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4</v>
      </c>
      <c r="B8" s="9" t="s">
        <v>1</v>
      </c>
      <c r="C8" s="58" t="s">
        <v>262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263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3</v>
      </c>
      <c r="E11" s="122"/>
      <c r="F11" s="18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2</v>
      </c>
      <c r="B13" s="9" t="s">
        <v>1</v>
      </c>
      <c r="C13" s="58" t="s">
        <v>39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264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v>1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153</v>
      </c>
      <c r="D17" s="69"/>
      <c r="E17" s="69"/>
      <c r="F17" s="70"/>
    </row>
    <row r="18" spans="1:6" ht="15.75" thickBot="1" x14ac:dyDescent="0.3"/>
    <row r="19" spans="1:6" ht="22.5" thickBot="1" x14ac:dyDescent="0.3">
      <c r="A19" s="64" t="s">
        <v>265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">
        <v>1</v>
      </c>
      <c r="E20" s="17"/>
      <c r="F20" s="18"/>
    </row>
    <row r="21" spans="1:6" ht="21.75" x14ac:dyDescent="0.25">
      <c r="A21" s="6">
        <v>1</v>
      </c>
      <c r="B21" s="7" t="s">
        <v>1</v>
      </c>
      <c r="C21" s="69" t="s">
        <v>266</v>
      </c>
      <c r="D21" s="69"/>
      <c r="E21" s="69"/>
      <c r="F21" s="70"/>
    </row>
    <row r="22" spans="1:6" ht="15.75" thickBot="1" x14ac:dyDescent="0.3"/>
    <row r="23" spans="1:6" ht="22.5" thickBot="1" x14ac:dyDescent="0.3">
      <c r="A23" s="82" t="s">
        <v>267</v>
      </c>
      <c r="B23" s="83"/>
      <c r="C23" s="83"/>
      <c r="D23" s="83"/>
      <c r="E23" s="83"/>
      <c r="F23" s="84"/>
    </row>
    <row r="24" spans="1:6" ht="22.5" thickBot="1" x14ac:dyDescent="0.3">
      <c r="A24" s="67" t="s">
        <v>0</v>
      </c>
      <c r="B24" s="68"/>
      <c r="C24" s="68"/>
      <c r="D24" s="1">
        <f>A25+A26+A27+A28+A29+A30+A31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58" t="s">
        <v>229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1">
    <mergeCell ref="A16:C16"/>
    <mergeCell ref="C17:F17"/>
    <mergeCell ref="A19:F19"/>
    <mergeCell ref="A20:C20"/>
    <mergeCell ref="C21:F21"/>
    <mergeCell ref="C26:F26"/>
    <mergeCell ref="C25:F25"/>
    <mergeCell ref="A24:C24"/>
    <mergeCell ref="A23:F23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F9AC-C8FF-4CC9-93CE-E230D6574D65}">
  <dimension ref="A1:F26"/>
  <sheetViews>
    <sheetView workbookViewId="0">
      <selection activeCell="D24" sqref="D24"/>
    </sheetView>
  </sheetViews>
  <sheetFormatPr defaultRowHeight="15" x14ac:dyDescent="0.25"/>
  <sheetData>
    <row r="1" spans="1:6" ht="22.5" thickBot="1" x14ac:dyDescent="0.3">
      <c r="A1" s="64" t="s">
        <v>268</v>
      </c>
      <c r="B1" s="65"/>
      <c r="C1" s="65"/>
      <c r="D1" s="65"/>
      <c r="E1" s="65"/>
      <c r="F1" s="66"/>
    </row>
    <row r="2" spans="1:6" ht="21.75" x14ac:dyDescent="0.25">
      <c r="A2" s="136" t="s">
        <v>0</v>
      </c>
      <c r="B2" s="137"/>
      <c r="C2" s="137"/>
      <c r="D2" s="138">
        <v>1</v>
      </c>
      <c r="E2" s="139"/>
      <c r="F2" s="140"/>
    </row>
    <row r="3" spans="1:6" ht="21.75" x14ac:dyDescent="0.25">
      <c r="A3" s="8">
        <v>1</v>
      </c>
      <c r="B3" s="9" t="s">
        <v>1</v>
      </c>
      <c r="C3" s="141" t="s">
        <v>59</v>
      </c>
      <c r="D3" s="141"/>
      <c r="E3" s="141"/>
      <c r="F3" s="142"/>
    </row>
    <row r="4" spans="1:6" ht="15.75" thickBot="1" x14ac:dyDescent="0.3"/>
    <row r="5" spans="1:6" ht="22.5" thickBot="1" x14ac:dyDescent="0.3">
      <c r="A5" s="82" t="s">
        <v>269</v>
      </c>
      <c r="B5" s="83"/>
      <c r="C5" s="83"/>
      <c r="D5" s="83"/>
      <c r="E5" s="83"/>
      <c r="F5" s="84"/>
    </row>
    <row r="6" spans="1:6" ht="22.5" thickBot="1" x14ac:dyDescent="0.3">
      <c r="A6" s="67" t="s">
        <v>0</v>
      </c>
      <c r="B6" s="68"/>
      <c r="C6" s="68"/>
      <c r="D6" s="1">
        <f>A7+A8+A9</f>
        <v>3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2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1.75" x14ac:dyDescent="0.25">
      <c r="A10" s="103" t="s">
        <v>270</v>
      </c>
      <c r="B10" s="104"/>
      <c r="C10" s="104"/>
      <c r="D10" s="104"/>
      <c r="E10" s="104"/>
      <c r="F10" s="105"/>
    </row>
    <row r="11" spans="1:6" ht="22.5" thickBot="1" x14ac:dyDescent="0.3">
      <c r="A11" s="106" t="s">
        <v>0</v>
      </c>
      <c r="B11" s="107"/>
      <c r="C11" s="107"/>
      <c r="D11" s="143">
        <v>5</v>
      </c>
      <c r="E11" s="135"/>
      <c r="F11" s="35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4</v>
      </c>
      <c r="B13" s="9" t="s">
        <v>1</v>
      </c>
      <c r="C13" s="58" t="s">
        <v>244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271</v>
      </c>
      <c r="B15" s="65"/>
      <c r="C15" s="65"/>
      <c r="D15" s="65"/>
      <c r="E15" s="65"/>
      <c r="F15" s="66"/>
    </row>
    <row r="16" spans="1:6" ht="22.5" thickBot="1" x14ac:dyDescent="0.3">
      <c r="A16" s="144" t="s">
        <v>0</v>
      </c>
      <c r="B16" s="145"/>
      <c r="C16" s="145"/>
      <c r="D16" s="1">
        <v>1</v>
      </c>
      <c r="E16" s="146"/>
      <c r="F16" s="147"/>
    </row>
    <row r="17" spans="1:6" ht="21.75" x14ac:dyDescent="0.25">
      <c r="A17" s="6">
        <v>1</v>
      </c>
      <c r="B17" s="7" t="s">
        <v>1</v>
      </c>
      <c r="C17" s="69" t="s">
        <v>62</v>
      </c>
      <c r="D17" s="69"/>
      <c r="E17" s="69"/>
      <c r="F17" s="70"/>
    </row>
    <row r="18" spans="1:6" ht="15.75" thickBot="1" x14ac:dyDescent="0.3"/>
    <row r="19" spans="1:6" ht="22.5" thickBot="1" x14ac:dyDescent="0.3">
      <c r="A19" s="64" t="s">
        <v>272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48">
        <v>1</v>
      </c>
      <c r="E20" s="146"/>
      <c r="F20" s="147"/>
    </row>
    <row r="21" spans="1:6" ht="21.75" x14ac:dyDescent="0.25">
      <c r="A21" s="6">
        <v>1</v>
      </c>
      <c r="B21" s="7" t="s">
        <v>1</v>
      </c>
      <c r="C21" s="69" t="s">
        <v>273</v>
      </c>
      <c r="D21" s="69"/>
      <c r="E21" s="69"/>
      <c r="F21" s="70"/>
    </row>
    <row r="22" spans="1:6" ht="15.75" thickBot="1" x14ac:dyDescent="0.3"/>
    <row r="23" spans="1:6" ht="22.5" thickBot="1" x14ac:dyDescent="0.3">
      <c r="A23" s="82" t="s">
        <v>274</v>
      </c>
      <c r="B23" s="83"/>
      <c r="C23" s="83"/>
      <c r="D23" s="83"/>
      <c r="E23" s="83"/>
      <c r="F23" s="84"/>
    </row>
    <row r="24" spans="1:6" ht="22.5" thickBot="1" x14ac:dyDescent="0.3">
      <c r="A24" s="67" t="s">
        <v>0</v>
      </c>
      <c r="B24" s="68"/>
      <c r="C24" s="68"/>
      <c r="D24" s="1">
        <f>A25+A26+A27+A28+A29+A30+A31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10" t="s">
        <v>229</v>
      </c>
      <c r="D25" s="10"/>
      <c r="E25" s="10"/>
      <c r="F25" s="11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0">
    <mergeCell ref="A24:C24"/>
    <mergeCell ref="C26:F26"/>
    <mergeCell ref="A16:C16"/>
    <mergeCell ref="C17:F17"/>
    <mergeCell ref="A19:F19"/>
    <mergeCell ref="A20:C20"/>
    <mergeCell ref="C21:F21"/>
    <mergeCell ref="A23:F23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B626-5E8D-4186-BF39-338A562CC430}">
  <dimension ref="A1:F29"/>
  <sheetViews>
    <sheetView workbookViewId="0">
      <selection activeCell="D27" sqref="D27"/>
    </sheetView>
  </sheetViews>
  <sheetFormatPr defaultRowHeight="15" x14ac:dyDescent="0.25"/>
  <sheetData>
    <row r="1" spans="1:6" ht="22.5" thickBot="1" x14ac:dyDescent="0.3">
      <c r="A1" s="82" t="s">
        <v>275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133</v>
      </c>
      <c r="D3" s="69"/>
      <c r="E3" s="69"/>
      <c r="F3" s="70"/>
    </row>
    <row r="4" spans="1:6" ht="15.75" thickBot="1" x14ac:dyDescent="0.3"/>
    <row r="5" spans="1:6" ht="22.5" thickBot="1" x14ac:dyDescent="0.3">
      <c r="A5" s="82" t="s">
        <v>276</v>
      </c>
      <c r="B5" s="83"/>
      <c r="C5" s="83"/>
      <c r="D5" s="83"/>
      <c r="E5" s="83"/>
      <c r="F5" s="84"/>
    </row>
    <row r="6" spans="1:6" ht="22.5" thickBot="1" x14ac:dyDescent="0.3">
      <c r="A6" s="67" t="s">
        <v>0</v>
      </c>
      <c r="B6" s="68"/>
      <c r="C6" s="68"/>
      <c r="D6" s="1">
        <f>A7+A8+A9</f>
        <v>3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2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2.5" thickBot="1" x14ac:dyDescent="0.3">
      <c r="A10" s="82" t="s">
        <v>277</v>
      </c>
      <c r="B10" s="83"/>
      <c r="C10" s="83"/>
      <c r="D10" s="83"/>
      <c r="E10" s="83"/>
      <c r="F10" s="84"/>
    </row>
    <row r="11" spans="1:6" ht="22.5" thickBot="1" x14ac:dyDescent="0.3">
      <c r="A11" s="67" t="s">
        <v>0</v>
      </c>
      <c r="B11" s="68"/>
      <c r="C11" s="68"/>
      <c r="D11" s="1">
        <v>3</v>
      </c>
      <c r="E11" s="122"/>
      <c r="F11" s="18"/>
    </row>
    <row r="12" spans="1:6" ht="21.75" x14ac:dyDescent="0.25">
      <c r="A12" s="6">
        <v>1</v>
      </c>
      <c r="B12" s="7" t="s">
        <v>1</v>
      </c>
      <c r="C12" s="69" t="s">
        <v>278</v>
      </c>
      <c r="D12" s="69"/>
      <c r="E12" s="69"/>
      <c r="F12" s="70"/>
    </row>
    <row r="13" spans="1:6" ht="21.75" x14ac:dyDescent="0.25">
      <c r="A13" s="8">
        <v>2</v>
      </c>
      <c r="B13" s="9" t="s">
        <v>1</v>
      </c>
      <c r="C13" s="58" t="s">
        <v>39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279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v>2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60</v>
      </c>
      <c r="D17" s="69"/>
      <c r="E17" s="69"/>
      <c r="F17" s="70"/>
    </row>
    <row r="18" spans="1:6" ht="21.75" x14ac:dyDescent="0.25">
      <c r="A18" s="8">
        <v>1</v>
      </c>
      <c r="B18" s="9" t="s">
        <v>1</v>
      </c>
      <c r="C18" s="58" t="s">
        <v>153</v>
      </c>
      <c r="D18" s="58"/>
      <c r="E18" s="58"/>
      <c r="F18" s="63"/>
    </row>
    <row r="19" spans="1:6" ht="15.75" thickBot="1" x14ac:dyDescent="0.3"/>
    <row r="20" spans="1:6" ht="22.5" thickBot="1" x14ac:dyDescent="0.3">
      <c r="A20" s="64" t="s">
        <v>280</v>
      </c>
      <c r="B20" s="65"/>
      <c r="C20" s="65"/>
      <c r="D20" s="65"/>
      <c r="E20" s="65"/>
      <c r="F20" s="66"/>
    </row>
    <row r="21" spans="1:6" ht="22.5" thickBot="1" x14ac:dyDescent="0.3">
      <c r="A21" s="67" t="s">
        <v>0</v>
      </c>
      <c r="B21" s="68"/>
      <c r="C21" s="68"/>
      <c r="D21" s="1">
        <f>A22+A23+A24+A25</f>
        <v>2</v>
      </c>
      <c r="E21" s="17"/>
      <c r="F21" s="18"/>
    </row>
    <row r="22" spans="1:6" ht="21.75" x14ac:dyDescent="0.25">
      <c r="A22" s="6">
        <v>1</v>
      </c>
      <c r="B22" s="7" t="s">
        <v>1</v>
      </c>
      <c r="C22" s="69" t="s">
        <v>70</v>
      </c>
      <c r="D22" s="69"/>
      <c r="E22" s="69"/>
      <c r="F22" s="70"/>
    </row>
    <row r="23" spans="1:6" ht="21.75" x14ac:dyDescent="0.25">
      <c r="A23" s="8">
        <v>1</v>
      </c>
      <c r="B23" s="9" t="s">
        <v>1</v>
      </c>
      <c r="C23" s="58" t="s">
        <v>273</v>
      </c>
      <c r="D23" s="58"/>
      <c r="E23" s="58"/>
      <c r="F23" s="63"/>
    </row>
    <row r="25" spans="1:6" ht="15.75" thickBot="1" x14ac:dyDescent="0.3"/>
    <row r="26" spans="1:6" ht="22.5" thickBot="1" x14ac:dyDescent="0.3">
      <c r="A26" s="82" t="s">
        <v>281</v>
      </c>
      <c r="B26" s="83"/>
      <c r="C26" s="83"/>
      <c r="D26" s="83"/>
      <c r="E26" s="83"/>
      <c r="F26" s="84"/>
    </row>
    <row r="27" spans="1:6" ht="22.5" thickBot="1" x14ac:dyDescent="0.3">
      <c r="A27" s="67" t="s">
        <v>0</v>
      </c>
      <c r="B27" s="68"/>
      <c r="C27" s="68"/>
      <c r="D27" s="1">
        <f>A28+A29+A30+A31+A32+A33+A34</f>
        <v>2</v>
      </c>
      <c r="E27" s="17"/>
      <c r="F27" s="18"/>
    </row>
    <row r="28" spans="1:6" ht="21.75" x14ac:dyDescent="0.25">
      <c r="A28" s="8">
        <v>1</v>
      </c>
      <c r="B28" s="9" t="s">
        <v>1</v>
      </c>
      <c r="C28" s="58" t="s">
        <v>229</v>
      </c>
      <c r="D28" s="58"/>
      <c r="E28" s="58"/>
      <c r="F28" s="63"/>
    </row>
    <row r="29" spans="1:6" ht="21.75" x14ac:dyDescent="0.25">
      <c r="A29" s="8">
        <v>1</v>
      </c>
      <c r="B29" s="9" t="s">
        <v>1</v>
      </c>
      <c r="C29" s="58" t="s">
        <v>3</v>
      </c>
      <c r="D29" s="58"/>
      <c r="E29" s="58"/>
      <c r="F29" s="63"/>
    </row>
  </sheetData>
  <mergeCells count="23">
    <mergeCell ref="C23:F23"/>
    <mergeCell ref="A26:F26"/>
    <mergeCell ref="A27:C27"/>
    <mergeCell ref="C28:F28"/>
    <mergeCell ref="C29:F29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4DCD-771D-43A1-BAF2-A871FB4E2A4A}">
  <dimension ref="A1:F23"/>
  <sheetViews>
    <sheetView workbookViewId="0">
      <selection activeCell="E24" sqref="E24"/>
    </sheetView>
  </sheetViews>
  <sheetFormatPr defaultRowHeight="15" x14ac:dyDescent="0.25"/>
  <sheetData>
    <row r="1" spans="1:6" ht="22.5" thickBot="1" x14ac:dyDescent="0.3">
      <c r="A1" s="82" t="s">
        <v>282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133</v>
      </c>
      <c r="D3" s="58"/>
      <c r="E3" s="58"/>
      <c r="F3" s="63"/>
    </row>
    <row r="4" spans="1:6" ht="15.75" thickBot="1" x14ac:dyDescent="0.3"/>
    <row r="5" spans="1:6" ht="22.5" thickBot="1" x14ac:dyDescent="0.3">
      <c r="A5" s="64" t="s">
        <v>283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68"/>
      <c r="D6" s="1">
        <f>A7+A8+A9</f>
        <v>3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2</v>
      </c>
      <c r="B8" s="9" t="s">
        <v>1</v>
      </c>
      <c r="C8" s="58" t="s">
        <v>38</v>
      </c>
      <c r="D8" s="58"/>
      <c r="E8" s="58"/>
      <c r="F8" s="63"/>
    </row>
    <row r="9" spans="1:6" ht="15.75" thickBot="1" x14ac:dyDescent="0.3"/>
    <row r="10" spans="1:6" ht="22.5" thickBot="1" x14ac:dyDescent="0.3">
      <c r="A10" s="82" t="s">
        <v>284</v>
      </c>
      <c r="B10" s="83"/>
      <c r="C10" s="83"/>
      <c r="D10" s="83"/>
      <c r="E10" s="83"/>
      <c r="F10" s="84"/>
    </row>
    <row r="11" spans="1:6" ht="22.5" thickBot="1" x14ac:dyDescent="0.3">
      <c r="A11" s="67" t="s">
        <v>0</v>
      </c>
      <c r="B11" s="68"/>
      <c r="C11" s="68"/>
      <c r="D11" s="1">
        <v>3</v>
      </c>
      <c r="E11" s="122"/>
      <c r="F11" s="18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2</v>
      </c>
      <c r="B13" s="9" t="s">
        <v>1</v>
      </c>
      <c r="C13" s="58" t="s">
        <v>39</v>
      </c>
      <c r="D13" s="58"/>
      <c r="E13" s="58"/>
      <c r="F13" s="63"/>
    </row>
    <row r="14" spans="1:6" ht="15.75" thickBot="1" x14ac:dyDescent="0.3"/>
    <row r="15" spans="1:6" ht="22.5" thickBot="1" x14ac:dyDescent="0.3">
      <c r="A15" s="82" t="s">
        <v>285</v>
      </c>
      <c r="B15" s="83"/>
      <c r="C15" s="83"/>
      <c r="D15" s="83"/>
      <c r="E15" s="83"/>
      <c r="F15" s="84"/>
    </row>
    <row r="16" spans="1:6" ht="22.5" thickBot="1" x14ac:dyDescent="0.3">
      <c r="A16" s="67" t="s">
        <v>0</v>
      </c>
      <c r="B16" s="68"/>
      <c r="C16" s="68"/>
      <c r="D16" s="1">
        <v>2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60</v>
      </c>
      <c r="D17" s="69"/>
      <c r="E17" s="69"/>
      <c r="F17" s="70"/>
    </row>
    <row r="18" spans="1:6" ht="21.75" x14ac:dyDescent="0.25">
      <c r="A18" s="8">
        <v>1</v>
      </c>
      <c r="B18" s="9" t="s">
        <v>1</v>
      </c>
      <c r="C18" s="58" t="s">
        <v>62</v>
      </c>
      <c r="D18" s="58"/>
      <c r="E18" s="58"/>
      <c r="F18" s="63"/>
    </row>
    <row r="19" spans="1:6" ht="15.75" thickBot="1" x14ac:dyDescent="0.3"/>
    <row r="20" spans="1:6" ht="22.5" thickBot="1" x14ac:dyDescent="0.3">
      <c r="A20" s="82" t="s">
        <v>286</v>
      </c>
      <c r="B20" s="83"/>
      <c r="C20" s="83"/>
      <c r="D20" s="83"/>
      <c r="E20" s="83"/>
      <c r="F20" s="84"/>
    </row>
    <row r="21" spans="1:6" ht="22.5" thickBot="1" x14ac:dyDescent="0.3">
      <c r="A21" s="67" t="s">
        <v>0</v>
      </c>
      <c r="B21" s="68"/>
      <c r="C21" s="68"/>
      <c r="D21" s="1">
        <f>A22+A23+A24+A25+A26+A27+A28</f>
        <v>2</v>
      </c>
      <c r="E21" s="17"/>
      <c r="F21" s="18"/>
    </row>
    <row r="22" spans="1:6" ht="21.75" x14ac:dyDescent="0.25">
      <c r="A22" s="8">
        <v>1</v>
      </c>
      <c r="B22" s="9" t="s">
        <v>1</v>
      </c>
      <c r="C22" s="58" t="s">
        <v>229</v>
      </c>
      <c r="D22" s="58"/>
      <c r="E22" s="58"/>
      <c r="F22" s="63"/>
    </row>
    <row r="23" spans="1:6" ht="21.75" x14ac:dyDescent="0.25">
      <c r="A23" s="8">
        <v>1</v>
      </c>
      <c r="B23" s="9" t="s">
        <v>1</v>
      </c>
      <c r="C23" s="58" t="s">
        <v>3</v>
      </c>
      <c r="D23" s="58"/>
      <c r="E23" s="58"/>
      <c r="F23" s="63"/>
    </row>
  </sheetData>
  <mergeCells count="19">
    <mergeCell ref="C23:F23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184-EC9B-4372-ADBD-E002DA84CC2B}">
  <dimension ref="A1:F26"/>
  <sheetViews>
    <sheetView workbookViewId="0">
      <selection activeCell="J18" sqref="J18"/>
    </sheetView>
  </sheetViews>
  <sheetFormatPr defaultRowHeight="15" x14ac:dyDescent="0.25"/>
  <sheetData>
    <row r="1" spans="1:6" ht="22.5" thickBot="1" x14ac:dyDescent="0.3">
      <c r="A1" s="64" t="s">
        <v>287</v>
      </c>
      <c r="B1" s="65"/>
      <c r="C1" s="65"/>
      <c r="D1" s="65"/>
      <c r="E1" s="65"/>
      <c r="F1" s="66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133</v>
      </c>
      <c r="D3" s="58"/>
      <c r="E3" s="58"/>
      <c r="F3" s="63"/>
    </row>
    <row r="4" spans="1:6" ht="15.75" thickBot="1" x14ac:dyDescent="0.3"/>
    <row r="5" spans="1:6" ht="22.5" thickBot="1" x14ac:dyDescent="0.3">
      <c r="A5" s="82" t="s">
        <v>288</v>
      </c>
      <c r="B5" s="83"/>
      <c r="C5" s="83"/>
      <c r="D5" s="83"/>
      <c r="E5" s="83"/>
      <c r="F5" s="84"/>
    </row>
    <row r="6" spans="1:6" ht="22.5" thickBot="1" x14ac:dyDescent="0.3">
      <c r="A6" s="67" t="s">
        <v>0</v>
      </c>
      <c r="B6" s="68"/>
      <c r="C6" s="68"/>
      <c r="D6" s="1">
        <f>A7+A8+A9</f>
        <v>4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3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2.5" thickBot="1" x14ac:dyDescent="0.3">
      <c r="A10" s="82" t="s">
        <v>289</v>
      </c>
      <c r="B10" s="83"/>
      <c r="C10" s="83"/>
      <c r="D10" s="83"/>
      <c r="E10" s="83"/>
      <c r="F10" s="84"/>
    </row>
    <row r="11" spans="1:6" ht="22.5" thickBot="1" x14ac:dyDescent="0.3">
      <c r="A11" s="67" t="s">
        <v>0</v>
      </c>
      <c r="B11" s="68"/>
      <c r="C11" s="68"/>
      <c r="D11" s="1">
        <v>2</v>
      </c>
      <c r="E11" s="122"/>
      <c r="F11" s="18"/>
    </row>
    <row r="12" spans="1:6" ht="21.75" x14ac:dyDescent="0.25">
      <c r="A12" s="6">
        <v>2</v>
      </c>
      <c r="B12" s="7" t="s">
        <v>1</v>
      </c>
      <c r="C12" s="69" t="s">
        <v>39</v>
      </c>
      <c r="D12" s="69"/>
      <c r="E12" s="69"/>
      <c r="F12" s="70"/>
    </row>
    <row r="13" spans="1:6" ht="15.75" thickBot="1" x14ac:dyDescent="0.3"/>
    <row r="14" spans="1:6" ht="22.5" thickBot="1" x14ac:dyDescent="0.3">
      <c r="A14" s="64" t="s">
        <v>290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2</v>
      </c>
      <c r="E15" s="2"/>
      <c r="F15" s="16"/>
    </row>
    <row r="16" spans="1:6" ht="21.75" x14ac:dyDescent="0.25">
      <c r="A16" s="6">
        <v>1</v>
      </c>
      <c r="B16" s="7" t="s">
        <v>1</v>
      </c>
      <c r="C16" s="69" t="s">
        <v>60</v>
      </c>
      <c r="D16" s="69"/>
      <c r="E16" s="69"/>
      <c r="F16" s="70"/>
    </row>
    <row r="17" spans="1:6" ht="21.75" x14ac:dyDescent="0.25">
      <c r="A17" s="8">
        <v>1</v>
      </c>
      <c r="B17" s="9" t="s">
        <v>1</v>
      </c>
      <c r="C17" s="58" t="s">
        <v>153</v>
      </c>
      <c r="D17" s="58"/>
      <c r="E17" s="58"/>
      <c r="F17" s="63"/>
    </row>
    <row r="18" spans="1:6" ht="15.75" thickBot="1" x14ac:dyDescent="0.3"/>
    <row r="19" spans="1:6" ht="22.5" thickBot="1" x14ac:dyDescent="0.3">
      <c r="A19" s="64" t="s">
        <v>291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">
        <v>1</v>
      </c>
      <c r="E20" s="2"/>
      <c r="F20" s="16"/>
    </row>
    <row r="21" spans="1:6" ht="21.75" x14ac:dyDescent="0.25">
      <c r="A21" s="6">
        <v>1</v>
      </c>
      <c r="B21" s="7" t="s">
        <v>1</v>
      </c>
      <c r="C21" s="69" t="s">
        <v>108</v>
      </c>
      <c r="D21" s="69"/>
      <c r="E21" s="69"/>
      <c r="F21" s="70"/>
    </row>
    <row r="22" spans="1:6" ht="15.75" thickBot="1" x14ac:dyDescent="0.3"/>
    <row r="23" spans="1:6" ht="22.5" thickBot="1" x14ac:dyDescent="0.3">
      <c r="A23" s="82" t="s">
        <v>292</v>
      </c>
      <c r="B23" s="83"/>
      <c r="C23" s="83"/>
      <c r="D23" s="83"/>
      <c r="E23" s="83"/>
      <c r="F23" s="84"/>
    </row>
    <row r="24" spans="1:6" ht="22.5" thickBot="1" x14ac:dyDescent="0.3">
      <c r="A24" s="67" t="s">
        <v>0</v>
      </c>
      <c r="B24" s="68"/>
      <c r="C24" s="68"/>
      <c r="D24" s="1">
        <f>A25+A26+A27+A28+A29+A30+A31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10" t="s">
        <v>229</v>
      </c>
      <c r="D25" s="10"/>
      <c r="E25" s="10"/>
      <c r="F25" s="11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0">
    <mergeCell ref="A24:C24"/>
    <mergeCell ref="C26:F26"/>
    <mergeCell ref="C16:F16"/>
    <mergeCell ref="C17:F17"/>
    <mergeCell ref="A19:F19"/>
    <mergeCell ref="A20:C20"/>
    <mergeCell ref="C21:F21"/>
    <mergeCell ref="A23:F23"/>
    <mergeCell ref="C8:F8"/>
    <mergeCell ref="A10:F10"/>
    <mergeCell ref="A11:C11"/>
    <mergeCell ref="C12:F12"/>
    <mergeCell ref="A14:F14"/>
    <mergeCell ref="A15:C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AC43-6DE0-4F8D-B100-469EA9B85BB0}">
  <dimension ref="A1:F23"/>
  <sheetViews>
    <sheetView workbookViewId="0">
      <selection activeCell="A20" sqref="A20:F23"/>
    </sheetView>
  </sheetViews>
  <sheetFormatPr defaultRowHeight="15" x14ac:dyDescent="0.25"/>
  <sheetData>
    <row r="1" spans="1:6" ht="22.5" thickBot="1" x14ac:dyDescent="0.3">
      <c r="A1" s="82" t="s">
        <v>293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 t="e">
        <f>A3+A4+A5+A6</f>
        <v>#VALUE!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120</v>
      </c>
      <c r="D3" s="58"/>
      <c r="E3" s="58"/>
      <c r="F3" s="63"/>
    </row>
    <row r="4" spans="1:6" ht="15.75" thickBot="1" x14ac:dyDescent="0.3"/>
    <row r="5" spans="1:6" ht="22.5" thickBot="1" x14ac:dyDescent="0.3">
      <c r="A5" s="82" t="s">
        <v>294</v>
      </c>
      <c r="B5" s="83"/>
      <c r="C5" s="83"/>
      <c r="D5" s="83"/>
      <c r="E5" s="83"/>
      <c r="F5" s="84"/>
    </row>
    <row r="6" spans="1:6" ht="22.5" thickBot="1" x14ac:dyDescent="0.3">
      <c r="A6" s="67" t="s">
        <v>0</v>
      </c>
      <c r="B6" s="68"/>
      <c r="C6" s="68"/>
      <c r="D6" s="127">
        <f>A7+A8+A9</f>
        <v>2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1</v>
      </c>
      <c r="B8" s="9" t="s">
        <v>1</v>
      </c>
      <c r="C8" s="58" t="s">
        <v>38</v>
      </c>
      <c r="D8" s="58"/>
      <c r="E8" s="58"/>
      <c r="F8" s="63"/>
    </row>
    <row r="9" spans="1:6" ht="15.75" thickBot="1" x14ac:dyDescent="0.3"/>
    <row r="10" spans="1:6" ht="22.5" thickBot="1" x14ac:dyDescent="0.3">
      <c r="A10" s="82" t="s">
        <v>295</v>
      </c>
      <c r="B10" s="83"/>
      <c r="C10" s="83"/>
      <c r="D10" s="83"/>
      <c r="E10" s="83"/>
      <c r="F10" s="84"/>
    </row>
    <row r="11" spans="1:6" ht="22.5" thickBot="1" x14ac:dyDescent="0.3">
      <c r="A11" s="67" t="s">
        <v>0</v>
      </c>
      <c r="B11" s="68"/>
      <c r="C11" s="68"/>
      <c r="D11" s="127" t="e">
        <f>A12+A13+A14+A15</f>
        <v>#VALUE!</v>
      </c>
      <c r="E11" s="122"/>
      <c r="F11" s="18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2</v>
      </c>
      <c r="B13" s="9" t="s">
        <v>1</v>
      </c>
      <c r="C13" s="58" t="s">
        <v>39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296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 t="e">
        <f>A17+A18+A19+A20</f>
        <v>#VALUE!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60</v>
      </c>
      <c r="D17" s="69"/>
      <c r="E17" s="69"/>
      <c r="F17" s="70"/>
    </row>
    <row r="18" spans="1:6" ht="21.75" x14ac:dyDescent="0.25">
      <c r="A18" s="8">
        <v>1</v>
      </c>
      <c r="B18" s="9" t="s">
        <v>1</v>
      </c>
      <c r="C18" s="58" t="s">
        <v>62</v>
      </c>
      <c r="D18" s="58"/>
      <c r="E18" s="58"/>
      <c r="F18" s="63"/>
    </row>
    <row r="19" spans="1:6" ht="15.75" thickBot="1" x14ac:dyDescent="0.3"/>
    <row r="20" spans="1:6" ht="22.5" thickBot="1" x14ac:dyDescent="0.3">
      <c r="A20" s="64" t="s">
        <v>297</v>
      </c>
      <c r="B20" s="65"/>
      <c r="C20" s="65"/>
      <c r="D20" s="65"/>
      <c r="E20" s="65"/>
      <c r="F20" s="66"/>
    </row>
    <row r="21" spans="1:6" ht="22.5" thickBot="1" x14ac:dyDescent="0.3">
      <c r="A21" s="67" t="s">
        <v>0</v>
      </c>
      <c r="B21" s="68"/>
      <c r="C21" s="68"/>
      <c r="D21" s="1">
        <f>A22+A23+A24+A25+A26+A27</f>
        <v>2</v>
      </c>
      <c r="E21" s="17"/>
      <c r="F21" s="18"/>
    </row>
    <row r="22" spans="1:6" ht="21.75" x14ac:dyDescent="0.25">
      <c r="A22" s="8">
        <v>1</v>
      </c>
      <c r="B22" s="9" t="s">
        <v>1</v>
      </c>
      <c r="C22" s="58" t="s">
        <v>229</v>
      </c>
      <c r="D22" s="58"/>
      <c r="E22" s="58"/>
      <c r="F22" s="63"/>
    </row>
    <row r="23" spans="1:6" ht="21.75" x14ac:dyDescent="0.25">
      <c r="A23" s="8">
        <v>1</v>
      </c>
      <c r="B23" s="9" t="s">
        <v>1</v>
      </c>
      <c r="C23" s="58" t="s">
        <v>3</v>
      </c>
      <c r="D23" s="58"/>
      <c r="E23" s="58"/>
      <c r="F23" s="63"/>
    </row>
  </sheetData>
  <mergeCells count="19">
    <mergeCell ref="C23:F23"/>
    <mergeCell ref="A16:C16"/>
    <mergeCell ref="C17:F17"/>
    <mergeCell ref="C18:F18"/>
    <mergeCell ref="A20:F20"/>
    <mergeCell ref="A21:C21"/>
    <mergeCell ref="C22:F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E8CE-011D-40E4-92C0-76C85503011D}">
  <dimension ref="A1:F24"/>
  <sheetViews>
    <sheetView zoomScale="115" zoomScaleNormal="115" workbookViewId="0">
      <selection activeCell="C17" sqref="C17:F17"/>
    </sheetView>
  </sheetViews>
  <sheetFormatPr defaultRowHeight="15" x14ac:dyDescent="0.25"/>
  <sheetData>
    <row r="1" spans="1:6" ht="22.5" thickBot="1" x14ac:dyDescent="0.3">
      <c r="A1" s="82" t="s">
        <v>298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8">
        <v>1</v>
      </c>
      <c r="B3" s="9" t="s">
        <v>1</v>
      </c>
      <c r="C3" s="58" t="s">
        <v>59</v>
      </c>
      <c r="D3" s="58"/>
      <c r="E3" s="58"/>
      <c r="F3" s="63"/>
    </row>
    <row r="4" spans="1:6" ht="15.75" thickBot="1" x14ac:dyDescent="0.3"/>
    <row r="5" spans="1:6" ht="22.5" thickBot="1" x14ac:dyDescent="0.3">
      <c r="A5" s="64" t="s">
        <v>299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68"/>
      <c r="D6" s="1">
        <f>A7+A8+A9</f>
        <v>5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4</v>
      </c>
      <c r="B8" s="9" t="s">
        <v>1</v>
      </c>
      <c r="C8" s="58" t="s">
        <v>38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300</v>
      </c>
      <c r="B10" s="65"/>
      <c r="C10" s="65"/>
      <c r="D10" s="65"/>
      <c r="E10" s="65"/>
      <c r="F10" s="66"/>
    </row>
    <row r="11" spans="1:6" ht="22.5" thickBot="1" x14ac:dyDescent="0.3">
      <c r="A11" s="123" t="s">
        <v>0</v>
      </c>
      <c r="B11" s="124"/>
      <c r="C11" s="124"/>
      <c r="D11" s="134">
        <v>7</v>
      </c>
      <c r="E11" s="10"/>
      <c r="F11" s="126"/>
    </row>
    <row r="12" spans="1:6" ht="21.75" x14ac:dyDescent="0.25">
      <c r="A12" s="6">
        <v>1</v>
      </c>
      <c r="B12" s="7" t="s">
        <v>1</v>
      </c>
      <c r="C12" s="69" t="s">
        <v>121</v>
      </c>
      <c r="D12" s="69"/>
      <c r="E12" s="69"/>
      <c r="F12" s="70"/>
    </row>
    <row r="13" spans="1:6" ht="21.75" x14ac:dyDescent="0.25">
      <c r="A13" s="8">
        <v>6</v>
      </c>
      <c r="B13" s="9" t="s">
        <v>1</v>
      </c>
      <c r="C13" s="58" t="s">
        <v>39</v>
      </c>
      <c r="D13" s="58"/>
      <c r="E13" s="58"/>
      <c r="F13" s="63"/>
    </row>
    <row r="14" spans="1:6" ht="15.75" thickBot="1" x14ac:dyDescent="0.3"/>
    <row r="15" spans="1:6" ht="22.5" thickBot="1" x14ac:dyDescent="0.3">
      <c r="A15" s="64" t="s">
        <v>301</v>
      </c>
      <c r="B15" s="65"/>
      <c r="C15" s="65"/>
      <c r="D15" s="65"/>
      <c r="E15" s="65"/>
      <c r="F15" s="66"/>
    </row>
    <row r="16" spans="1:6" ht="22.5" thickBot="1" x14ac:dyDescent="0.3">
      <c r="A16" s="67" t="s">
        <v>0</v>
      </c>
      <c r="B16" s="68"/>
      <c r="C16" s="68"/>
      <c r="D16" s="1">
        <f>A17+A18+A19+A20</f>
        <v>4</v>
      </c>
      <c r="E16" s="17"/>
      <c r="F16" s="18"/>
    </row>
    <row r="17" spans="1:6" ht="21.75" x14ac:dyDescent="0.25">
      <c r="A17" s="6">
        <v>1</v>
      </c>
      <c r="B17" s="7" t="s">
        <v>1</v>
      </c>
      <c r="C17" s="69" t="s">
        <v>60</v>
      </c>
      <c r="D17" s="69"/>
      <c r="E17" s="69"/>
      <c r="F17" s="70"/>
    </row>
    <row r="18" spans="1:6" ht="21.75" x14ac:dyDescent="0.25">
      <c r="A18" s="8">
        <v>1</v>
      </c>
      <c r="B18" s="9" t="s">
        <v>1</v>
      </c>
      <c r="C18" s="58" t="s">
        <v>302</v>
      </c>
      <c r="D18" s="58"/>
      <c r="E18" s="58"/>
      <c r="F18" s="63"/>
    </row>
    <row r="19" spans="1:6" ht="21.75" x14ac:dyDescent="0.25">
      <c r="A19" s="8">
        <v>2</v>
      </c>
      <c r="B19" s="9" t="s">
        <v>1</v>
      </c>
      <c r="C19" s="58" t="s">
        <v>62</v>
      </c>
      <c r="D19" s="58"/>
      <c r="E19" s="58"/>
      <c r="F19" s="63"/>
    </row>
    <row r="20" spans="1:6" ht="15.75" thickBot="1" x14ac:dyDescent="0.3"/>
    <row r="21" spans="1:6" ht="22.5" thickBot="1" x14ac:dyDescent="0.3">
      <c r="A21" s="82" t="s">
        <v>303</v>
      </c>
      <c r="B21" s="83"/>
      <c r="C21" s="83"/>
      <c r="D21" s="83"/>
      <c r="E21" s="83"/>
      <c r="F21" s="84"/>
    </row>
    <row r="22" spans="1:6" ht="22.5" thickBot="1" x14ac:dyDescent="0.3">
      <c r="A22" s="67" t="s">
        <v>0</v>
      </c>
      <c r="B22" s="68"/>
      <c r="C22" s="68"/>
      <c r="D22" s="1">
        <f>A23+A24+A25+A26+A27+A28+A29</f>
        <v>2</v>
      </c>
      <c r="E22" s="17"/>
      <c r="F22" s="18"/>
    </row>
    <row r="23" spans="1:6" ht="21.75" x14ac:dyDescent="0.25">
      <c r="A23" s="8">
        <v>1</v>
      </c>
      <c r="B23" s="9" t="s">
        <v>1</v>
      </c>
      <c r="C23" s="58" t="s">
        <v>229</v>
      </c>
      <c r="D23" s="58"/>
      <c r="E23" s="58"/>
      <c r="F23" s="63"/>
    </row>
    <row r="24" spans="1:6" ht="21.75" x14ac:dyDescent="0.25">
      <c r="A24" s="8">
        <v>1</v>
      </c>
      <c r="B24" s="9" t="s">
        <v>1</v>
      </c>
      <c r="C24" s="58" t="s">
        <v>3</v>
      </c>
      <c r="D24" s="58"/>
      <c r="E24" s="58"/>
      <c r="F24" s="63"/>
    </row>
  </sheetData>
  <mergeCells count="20">
    <mergeCell ref="C23:F23"/>
    <mergeCell ref="C24:F24"/>
    <mergeCell ref="A16:C16"/>
    <mergeCell ref="C17:F17"/>
    <mergeCell ref="C18:F18"/>
    <mergeCell ref="C19:F19"/>
    <mergeCell ref="A21:F21"/>
    <mergeCell ref="A22:C22"/>
    <mergeCell ref="C8:F8"/>
    <mergeCell ref="A10:F10"/>
    <mergeCell ref="A11:C11"/>
    <mergeCell ref="C12:F12"/>
    <mergeCell ref="C13:F13"/>
    <mergeCell ref="A15:F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73F5-6FAF-4E15-A040-98A627D61E3E}">
  <dimension ref="A1:F26"/>
  <sheetViews>
    <sheetView workbookViewId="0">
      <selection activeCell="G23" sqref="G23"/>
    </sheetView>
  </sheetViews>
  <sheetFormatPr defaultRowHeight="15" x14ac:dyDescent="0.25"/>
  <sheetData>
    <row r="1" spans="1:6" ht="22.5" thickBot="1" x14ac:dyDescent="0.3">
      <c r="A1" s="82" t="s">
        <v>304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305</v>
      </c>
      <c r="D3" s="69"/>
      <c r="E3" s="69"/>
      <c r="F3" s="70"/>
    </row>
    <row r="4" spans="1:6" ht="15.75" thickBot="1" x14ac:dyDescent="0.3"/>
    <row r="5" spans="1:6" ht="22.5" thickBot="1" x14ac:dyDescent="0.3">
      <c r="A5" s="64" t="s">
        <v>306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132"/>
      <c r="D6" s="149">
        <f>A7+A8+A9</f>
        <v>4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3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307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3</v>
      </c>
      <c r="E11" s="122"/>
      <c r="F11" s="18"/>
    </row>
    <row r="12" spans="1:6" ht="21.75" x14ac:dyDescent="0.25">
      <c r="A12" s="6">
        <v>3</v>
      </c>
      <c r="B12" s="7" t="s">
        <v>1</v>
      </c>
      <c r="C12" s="69" t="s">
        <v>244</v>
      </c>
      <c r="D12" s="69"/>
      <c r="E12" s="69"/>
      <c r="F12" s="70"/>
    </row>
    <row r="13" spans="1:6" ht="15.75" thickBot="1" x14ac:dyDescent="0.3"/>
    <row r="14" spans="1:6" ht="22.5" thickBot="1" x14ac:dyDescent="0.3">
      <c r="A14" s="64" t="s">
        <v>308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2</v>
      </c>
      <c r="E15" s="17"/>
      <c r="F15" s="18"/>
    </row>
    <row r="16" spans="1:6" ht="21.75" x14ac:dyDescent="0.25">
      <c r="A16" s="6">
        <v>1</v>
      </c>
      <c r="B16" s="7" t="s">
        <v>1</v>
      </c>
      <c r="C16" s="69" t="s">
        <v>60</v>
      </c>
      <c r="D16" s="69"/>
      <c r="E16" s="69"/>
      <c r="F16" s="70"/>
    </row>
    <row r="17" spans="1:6" ht="21.75" x14ac:dyDescent="0.25">
      <c r="A17" s="8">
        <v>1</v>
      </c>
      <c r="B17" s="9" t="s">
        <v>1</v>
      </c>
      <c r="C17" s="58" t="s">
        <v>153</v>
      </c>
      <c r="D17" s="58"/>
      <c r="E17" s="58"/>
      <c r="F17" s="63"/>
    </row>
    <row r="18" spans="1:6" ht="15.75" thickBot="1" x14ac:dyDescent="0.3"/>
    <row r="19" spans="1:6" ht="22.5" thickBot="1" x14ac:dyDescent="0.3">
      <c r="A19" s="64" t="s">
        <v>309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">
        <v>1</v>
      </c>
      <c r="E20" s="17"/>
      <c r="F20" s="18"/>
    </row>
    <row r="21" spans="1:6" ht="21.75" x14ac:dyDescent="0.25">
      <c r="A21" s="6">
        <v>1</v>
      </c>
      <c r="B21" s="7" t="s">
        <v>1</v>
      </c>
      <c r="C21" s="69" t="s">
        <v>108</v>
      </c>
      <c r="D21" s="69"/>
      <c r="E21" s="69"/>
      <c r="F21" s="70"/>
    </row>
    <row r="22" spans="1:6" ht="15.75" thickBot="1" x14ac:dyDescent="0.3"/>
    <row r="23" spans="1:6" ht="22.5" thickBot="1" x14ac:dyDescent="0.3">
      <c r="A23" s="64" t="s">
        <v>310</v>
      </c>
      <c r="B23" s="65"/>
      <c r="C23" s="65"/>
      <c r="D23" s="65"/>
      <c r="E23" s="65"/>
      <c r="F23" s="66"/>
    </row>
    <row r="24" spans="1:6" ht="22.5" thickBot="1" x14ac:dyDescent="0.3">
      <c r="A24" s="67" t="s">
        <v>0</v>
      </c>
      <c r="B24" s="68"/>
      <c r="C24" s="68"/>
      <c r="D24" s="1">
        <f>A25+A26+A27+A28+A29+A30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58" t="s">
        <v>229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1">
    <mergeCell ref="A24:C24"/>
    <mergeCell ref="C25:F25"/>
    <mergeCell ref="C26:F26"/>
    <mergeCell ref="C16:F16"/>
    <mergeCell ref="C17:F17"/>
    <mergeCell ref="A19:F19"/>
    <mergeCell ref="A20:C20"/>
    <mergeCell ref="C21:F21"/>
    <mergeCell ref="A23:F23"/>
    <mergeCell ref="C8:F8"/>
    <mergeCell ref="A10:F10"/>
    <mergeCell ref="A11:C11"/>
    <mergeCell ref="C12:F12"/>
    <mergeCell ref="A14:F14"/>
    <mergeCell ref="A15:C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CF46-1BAB-4A13-B95B-90F33F0EF3AE}">
  <dimension ref="A1:F26"/>
  <sheetViews>
    <sheetView workbookViewId="0">
      <selection activeCell="C3" sqref="C3:F3"/>
    </sheetView>
  </sheetViews>
  <sheetFormatPr defaultRowHeight="15" x14ac:dyDescent="0.25"/>
  <sheetData>
    <row r="1" spans="1:6" ht="22.5" thickBot="1" x14ac:dyDescent="0.3">
      <c r="A1" s="82" t="s">
        <v>311</v>
      </c>
      <c r="B1" s="83"/>
      <c r="C1" s="83"/>
      <c r="D1" s="83"/>
      <c r="E1" s="83"/>
      <c r="F1" s="84"/>
    </row>
    <row r="2" spans="1:6" ht="22.5" thickBot="1" x14ac:dyDescent="0.3">
      <c r="A2" s="67" t="s">
        <v>0</v>
      </c>
      <c r="B2" s="68"/>
      <c r="C2" s="68"/>
      <c r="D2" s="1">
        <v>1</v>
      </c>
      <c r="E2" s="17"/>
      <c r="F2" s="18"/>
    </row>
    <row r="3" spans="1:6" ht="21.75" x14ac:dyDescent="0.25">
      <c r="A3" s="6">
        <v>1</v>
      </c>
      <c r="B3" s="7" t="s">
        <v>1</v>
      </c>
      <c r="C3" s="69" t="s">
        <v>133</v>
      </c>
      <c r="D3" s="69"/>
      <c r="E3" s="69"/>
      <c r="F3" s="70"/>
    </row>
    <row r="4" spans="1:6" ht="15.75" thickBot="1" x14ac:dyDescent="0.3"/>
    <row r="5" spans="1:6" ht="22.5" thickBot="1" x14ac:dyDescent="0.3">
      <c r="A5" s="64" t="s">
        <v>312</v>
      </c>
      <c r="B5" s="65"/>
      <c r="C5" s="65"/>
      <c r="D5" s="65"/>
      <c r="E5" s="65"/>
      <c r="F5" s="66"/>
    </row>
    <row r="6" spans="1:6" ht="22.5" thickBot="1" x14ac:dyDescent="0.3">
      <c r="A6" s="67" t="s">
        <v>0</v>
      </c>
      <c r="B6" s="68"/>
      <c r="C6" s="132"/>
      <c r="D6" s="149">
        <f>A7+A8+A9</f>
        <v>4</v>
      </c>
      <c r="E6" s="122"/>
      <c r="F6" s="18"/>
    </row>
    <row r="7" spans="1:6" ht="21.75" x14ac:dyDescent="0.25">
      <c r="A7" s="6">
        <v>1</v>
      </c>
      <c r="B7" s="7" t="s">
        <v>1</v>
      </c>
      <c r="C7" s="69" t="s">
        <v>37</v>
      </c>
      <c r="D7" s="69"/>
      <c r="E7" s="69"/>
      <c r="F7" s="70"/>
    </row>
    <row r="8" spans="1:6" ht="21.75" x14ac:dyDescent="0.25">
      <c r="A8" s="8">
        <v>3</v>
      </c>
      <c r="B8" s="9" t="s">
        <v>1</v>
      </c>
      <c r="C8" s="58" t="s">
        <v>232</v>
      </c>
      <c r="D8" s="58"/>
      <c r="E8" s="58"/>
      <c r="F8" s="63"/>
    </row>
    <row r="9" spans="1:6" ht="15.75" thickBot="1" x14ac:dyDescent="0.3"/>
    <row r="10" spans="1:6" ht="22.5" thickBot="1" x14ac:dyDescent="0.3">
      <c r="A10" s="64" t="s">
        <v>313</v>
      </c>
      <c r="B10" s="65"/>
      <c r="C10" s="65"/>
      <c r="D10" s="65"/>
      <c r="E10" s="65"/>
      <c r="F10" s="66"/>
    </row>
    <row r="11" spans="1:6" ht="22.5" thickBot="1" x14ac:dyDescent="0.3">
      <c r="A11" s="67" t="s">
        <v>0</v>
      </c>
      <c r="B11" s="68"/>
      <c r="C11" s="68"/>
      <c r="D11" s="1">
        <v>3</v>
      </c>
      <c r="E11" s="122"/>
      <c r="F11" s="18"/>
    </row>
    <row r="12" spans="1:6" ht="21.75" x14ac:dyDescent="0.25">
      <c r="A12" s="6">
        <v>3</v>
      </c>
      <c r="B12" s="7" t="s">
        <v>1</v>
      </c>
      <c r="C12" s="69" t="s">
        <v>244</v>
      </c>
      <c r="D12" s="69"/>
      <c r="E12" s="69"/>
      <c r="F12" s="70"/>
    </row>
    <row r="13" spans="1:6" ht="15.75" thickBot="1" x14ac:dyDescent="0.3"/>
    <row r="14" spans="1:6" ht="22.5" thickBot="1" x14ac:dyDescent="0.3">
      <c r="A14" s="64" t="s">
        <v>314</v>
      </c>
      <c r="B14" s="65"/>
      <c r="C14" s="65"/>
      <c r="D14" s="65"/>
      <c r="E14" s="65"/>
      <c r="F14" s="66"/>
    </row>
    <row r="15" spans="1:6" ht="22.5" thickBot="1" x14ac:dyDescent="0.3">
      <c r="A15" s="67" t="s">
        <v>0</v>
      </c>
      <c r="B15" s="68"/>
      <c r="C15" s="68"/>
      <c r="D15" s="1">
        <v>2</v>
      </c>
      <c r="E15" s="17"/>
      <c r="F15" s="18"/>
    </row>
    <row r="16" spans="1:6" ht="21.75" x14ac:dyDescent="0.25">
      <c r="A16" s="6">
        <v>1</v>
      </c>
      <c r="B16" s="7" t="s">
        <v>1</v>
      </c>
      <c r="C16" s="69" t="s">
        <v>60</v>
      </c>
      <c r="D16" s="69"/>
      <c r="E16" s="69"/>
      <c r="F16" s="70"/>
    </row>
    <row r="17" spans="1:6" ht="21.75" x14ac:dyDescent="0.25">
      <c r="A17" s="8">
        <v>1</v>
      </c>
      <c r="B17" s="9" t="s">
        <v>1</v>
      </c>
      <c r="C17" s="58" t="s">
        <v>153</v>
      </c>
      <c r="D17" s="58"/>
      <c r="E17" s="58"/>
      <c r="F17" s="63"/>
    </row>
    <row r="18" spans="1:6" ht="15.75" thickBot="1" x14ac:dyDescent="0.3"/>
    <row r="19" spans="1:6" ht="22.5" thickBot="1" x14ac:dyDescent="0.3">
      <c r="A19" s="64" t="s">
        <v>315</v>
      </c>
      <c r="B19" s="65"/>
      <c r="C19" s="65"/>
      <c r="D19" s="65"/>
      <c r="E19" s="65"/>
      <c r="F19" s="66"/>
    </row>
    <row r="20" spans="1:6" ht="22.5" thickBot="1" x14ac:dyDescent="0.3">
      <c r="A20" s="67" t="s">
        <v>0</v>
      </c>
      <c r="B20" s="68"/>
      <c r="C20" s="68"/>
      <c r="D20" s="1">
        <v>1</v>
      </c>
      <c r="E20" s="17"/>
      <c r="F20" s="18"/>
    </row>
    <row r="21" spans="1:6" ht="21.75" x14ac:dyDescent="0.25">
      <c r="A21" s="6">
        <v>1</v>
      </c>
      <c r="B21" s="7" t="s">
        <v>1</v>
      </c>
      <c r="C21" s="69" t="s">
        <v>108</v>
      </c>
      <c r="D21" s="69"/>
      <c r="E21" s="69"/>
      <c r="F21" s="70"/>
    </row>
    <row r="22" spans="1:6" ht="15.75" thickBot="1" x14ac:dyDescent="0.3"/>
    <row r="23" spans="1:6" ht="22.5" thickBot="1" x14ac:dyDescent="0.3">
      <c r="A23" s="64" t="s">
        <v>316</v>
      </c>
      <c r="B23" s="65"/>
      <c r="C23" s="65"/>
      <c r="D23" s="65"/>
      <c r="E23" s="65"/>
      <c r="F23" s="66"/>
    </row>
    <row r="24" spans="1:6" ht="22.5" thickBot="1" x14ac:dyDescent="0.3">
      <c r="A24" s="67" t="s">
        <v>0</v>
      </c>
      <c r="B24" s="68"/>
      <c r="C24" s="68"/>
      <c r="D24" s="1">
        <f>A25+A26+A27+A28+A29+A30</f>
        <v>2</v>
      </c>
      <c r="E24" s="17"/>
      <c r="F24" s="18"/>
    </row>
    <row r="25" spans="1:6" ht="21.75" x14ac:dyDescent="0.25">
      <c r="A25" s="8">
        <v>1</v>
      </c>
      <c r="B25" s="9" t="s">
        <v>1</v>
      </c>
      <c r="C25" s="58" t="s">
        <v>229</v>
      </c>
      <c r="D25" s="58"/>
      <c r="E25" s="58"/>
      <c r="F25" s="63"/>
    </row>
    <row r="26" spans="1:6" ht="21.75" x14ac:dyDescent="0.25">
      <c r="A26" s="8">
        <v>1</v>
      </c>
      <c r="B26" s="9" t="s">
        <v>1</v>
      </c>
      <c r="C26" s="58" t="s">
        <v>3</v>
      </c>
      <c r="D26" s="58"/>
      <c r="E26" s="58"/>
      <c r="F26" s="63"/>
    </row>
  </sheetData>
  <mergeCells count="21">
    <mergeCell ref="A24:C24"/>
    <mergeCell ref="C25:F25"/>
    <mergeCell ref="C26:F26"/>
    <mergeCell ref="C16:F16"/>
    <mergeCell ref="C17:F17"/>
    <mergeCell ref="A19:F19"/>
    <mergeCell ref="A20:C20"/>
    <mergeCell ref="C21:F21"/>
    <mergeCell ref="A23:F23"/>
    <mergeCell ref="C8:F8"/>
    <mergeCell ref="A10:F10"/>
    <mergeCell ref="A11:C11"/>
    <mergeCell ref="C12:F12"/>
    <mergeCell ref="A14:F14"/>
    <mergeCell ref="A15:C15"/>
    <mergeCell ref="A1:F1"/>
    <mergeCell ref="A2:C2"/>
    <mergeCell ref="C3:F3"/>
    <mergeCell ref="A5:F5"/>
    <mergeCell ref="A6:C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khulna</vt:lpstr>
      <vt:lpstr>Chittagong</vt:lpstr>
      <vt:lpstr>Rajshahi</vt:lpstr>
      <vt:lpstr>rangpur</vt:lpstr>
      <vt:lpstr>mymensing</vt:lpstr>
      <vt:lpstr>sylhet</vt:lpstr>
      <vt:lpstr>barisal</vt:lpstr>
      <vt:lpstr>dmi</vt:lpstr>
      <vt:lpstr>gazipur</vt:lpstr>
      <vt:lpstr>noakhali</vt:lpstr>
      <vt:lpstr>jessore</vt:lpstr>
      <vt:lpstr>bogura</vt:lpstr>
      <vt:lpstr>dinajpur</vt:lpstr>
      <vt:lpstr>pabna</vt:lpstr>
      <vt:lpstr>kushtia</vt:lpstr>
      <vt:lpstr>narsingdi</vt:lpstr>
      <vt:lpstr>faridpur</vt:lpstr>
      <vt:lpstr>patuakhali</vt:lpstr>
      <vt:lpstr>coxbazar</vt:lpstr>
      <vt:lpstr>cumilla</vt:lpstr>
      <vt:lpstr>gopalganj</vt:lpstr>
      <vt:lpstr>narayanganj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AbdNahid</dc:creator>
  <cp:lastModifiedBy>AbdNahid</cp:lastModifiedBy>
  <dcterms:created xsi:type="dcterms:W3CDTF">2026-05-21T16:45:23Z</dcterms:created>
  <dcterms:modified xsi:type="dcterms:W3CDTF">2026-05-22T14:49:13Z</dcterms:modified>
</cp:coreProperties>
</file>